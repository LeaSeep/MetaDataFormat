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ea/sciebo/Home/current/projects/MetaDataFormat/Input/ExcelBased/"/>
    </mc:Choice>
  </mc:AlternateContent>
  <xr:revisionPtr revIDLastSave="0" documentId="13_ncr:1_{21341E78-29CD-A14E-B473-1225FF4A6531}" xr6:coauthVersionLast="47" xr6:coauthVersionMax="47" xr10:uidLastSave="{00000000-0000-0000-0000-000000000000}"/>
  <bookViews>
    <workbookView xWindow="0" yWindow="760" windowWidth="30240" windowHeight="17520" activeTab="1" xr2:uid="{29E1E988-2253-7B4E-AADA-C18EE7A13052}"/>
  </bookViews>
  <sheets>
    <sheet name="Template" sheetId="3" r:id="rId1"/>
    <sheet name="Input" sheetId="1" r:id="rId2"/>
    <sheet name="Sheet1" sheetId="8" r:id="rId3"/>
    <sheet name="Validation" sheetId="6" r:id="rId4"/>
    <sheet name="Validation_bool" sheetId="7" r:id="rId5"/>
    <sheet name="Notes" sheetId="2" r:id="rId6"/>
    <sheet name="Validation_old" sheetId="5" r:id="rId7"/>
    <sheet name="Template_Source" sheetId="4" r:id="rId8"/>
  </sheets>
  <functionGroups builtInGroupCount="19"/>
  <externalReferences>
    <externalReference r:id="rId9"/>
    <externalReference r:id="rId10"/>
  </externalReferences>
  <definedNames>
    <definedName name="ValidationOfC3">[1]Validation!$D$9</definedName>
    <definedName name="ValidationOfE5">[1]Validation!$F$11</definedName>
    <definedName name="ValidationOfX29">[2]Validation!$Z$35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22" i="1" l="1"/>
  <c r="A139" i="8"/>
  <c r="A138" i="8"/>
  <c r="C108" i="8"/>
  <c r="D72" i="8"/>
  <c r="D75" i="8" s="1"/>
  <c r="D76" i="8" s="1"/>
  <c r="C72" i="8"/>
  <c r="C75" i="8" s="1"/>
  <c r="C76" i="8" s="1"/>
  <c r="D71" i="8"/>
  <c r="C71" i="8"/>
  <c r="B6" i="8"/>
  <c r="B6" i="1"/>
  <c r="C85" i="1"/>
  <c r="D85" i="1"/>
  <c r="C86" i="1"/>
  <c r="C89" i="1" s="1"/>
  <c r="C90" i="1" s="1"/>
  <c r="D86" i="1"/>
  <c r="D89" i="1" s="1"/>
  <c r="D90" i="1" s="1"/>
  <c r="B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22" authorId="0" shapeId="0" xr:uid="{E0CADC95-ABDD-284B-B439-D6A96C447E1A}">
      <text>
        <r>
          <rPr>
            <b/>
            <sz val="10"/>
            <color rgb="FF000000"/>
            <rFont val="Tahoma"/>
            <family val="2"/>
          </rPr>
          <t>Microsoft Office User:</t>
        </r>
        <r>
          <rPr>
            <sz val="10"/>
            <color rgb="FF000000"/>
            <rFont val="Tahoma"/>
            <family val="2"/>
          </rPr>
          <t xml:space="preserve">
</t>
        </r>
        <r>
          <rPr>
            <sz val="10"/>
            <color rgb="FF000000"/>
            <rFont val="Tahoma"/>
            <family val="2"/>
          </rPr>
          <t>e.g. if you compare WT vs KO for 2 different diets you should select here yes</t>
        </r>
      </text>
    </comment>
    <comment ref="B25" authorId="0" shapeId="0" xr:uid="{E2F0512F-1BFB-3347-B8D2-EC04A3181297}">
      <text>
        <r>
          <rPr>
            <b/>
            <sz val="10"/>
            <color rgb="FF000000"/>
            <rFont val="Tahoma"/>
            <family val="2"/>
          </rPr>
          <t>Microsoft Office User:</t>
        </r>
        <r>
          <rPr>
            <sz val="10"/>
            <color rgb="FF000000"/>
            <rFont val="Tahoma"/>
            <family val="2"/>
          </rPr>
          <t xml:space="preserve">
</t>
        </r>
        <r>
          <rPr>
            <sz val="10"/>
            <color rgb="FF000000"/>
            <rFont val="Tahoma"/>
            <family val="2"/>
          </rPr>
          <t>Note that further down you can specify the timeline</t>
        </r>
      </text>
    </comment>
    <comment ref="B34" authorId="0" shapeId="0" xr:uid="{76E3AE7D-C329-F049-90FC-E241548D5B7D}">
      <text>
        <r>
          <rPr>
            <b/>
            <sz val="10"/>
            <color rgb="FF000000"/>
            <rFont val="Tahoma"/>
            <family val="2"/>
          </rPr>
          <t>Microsoft Office User:</t>
        </r>
        <r>
          <rPr>
            <sz val="10"/>
            <color rgb="FF000000"/>
            <rFont val="Tahoma"/>
            <family val="2"/>
          </rPr>
          <t xml:space="preserve">
</t>
        </r>
        <r>
          <rPr>
            <sz val="10"/>
            <color rgb="FF000000"/>
            <rFont val="Tahoma"/>
            <family val="2"/>
          </rPr>
          <t>Note that further down you can specify the timeline</t>
        </r>
      </text>
    </comment>
    <comment ref="B38" authorId="0" shapeId="0" xr:uid="{F84B6A16-3629-714F-8CF1-10187D7D3274}">
      <text>
        <r>
          <rPr>
            <b/>
            <sz val="10"/>
            <color rgb="FF000000"/>
            <rFont val="Tahoma"/>
            <family val="2"/>
          </rPr>
          <t>Microsoft Office User:</t>
        </r>
        <r>
          <rPr>
            <sz val="10"/>
            <color rgb="FF000000"/>
            <rFont val="Tahoma"/>
            <family val="2"/>
          </rPr>
          <t xml:space="preserve">
</t>
        </r>
        <r>
          <rPr>
            <sz val="10"/>
            <color rgb="FF000000"/>
            <rFont val="Tahoma"/>
            <family val="2"/>
          </rPr>
          <t>from days to seconds</t>
        </r>
      </text>
    </comment>
    <comment ref="B57" authorId="0" shapeId="0" xr:uid="{E2081879-8878-8C4C-BCAD-F42B7B45F688}">
      <text>
        <r>
          <rPr>
            <b/>
            <sz val="10"/>
            <color rgb="FF000000"/>
            <rFont val="Tahoma"/>
            <family val="2"/>
          </rPr>
          <t>Microsoft Office User:</t>
        </r>
        <r>
          <rPr>
            <sz val="10"/>
            <color rgb="FF000000"/>
            <rFont val="Tahoma"/>
            <family val="2"/>
          </rPr>
          <t xml:space="preserve">
</t>
        </r>
        <r>
          <rPr>
            <sz val="10"/>
            <color rgb="FF000000"/>
            <rFont val="Tahoma"/>
            <family val="2"/>
          </rPr>
          <t>Note that further down you can specify the timeline</t>
        </r>
      </text>
    </comment>
    <comment ref="A69" authorId="0" shapeId="0" xr:uid="{3BF8716E-9BFC-7E4E-97F2-0E7B83434F7E}">
      <text>
        <r>
          <rPr>
            <b/>
            <sz val="10"/>
            <color rgb="FF000000"/>
            <rFont val="Tahoma"/>
            <family val="2"/>
          </rPr>
          <t>Microsoft Office User:</t>
        </r>
        <r>
          <rPr>
            <sz val="10"/>
            <color rgb="FF000000"/>
            <rFont val="Tahoma"/>
            <family val="2"/>
          </rPr>
          <t xml:space="preserve">
</t>
        </r>
        <r>
          <rPr>
            <sz val="10"/>
            <color rgb="FF000000"/>
            <rFont val="Tahoma"/>
            <family val="2"/>
          </rPr>
          <t>the greyed our are fixed and must be provided - those are on sample level only at the moment!</t>
        </r>
      </text>
    </comment>
    <comment ref="A70" authorId="0" shapeId="0" xr:uid="{ACB18B0D-D2D0-884A-8B87-A9AC8C85194C}">
      <text>
        <r>
          <rPr>
            <b/>
            <sz val="10"/>
            <color rgb="FF000000"/>
            <rFont val="Tahoma"/>
            <family val="2"/>
          </rPr>
          <t>Microsoft Office User:</t>
        </r>
        <r>
          <rPr>
            <sz val="10"/>
            <color rgb="FF000000"/>
            <rFont val="Tahoma"/>
            <family val="2"/>
          </rPr>
          <t xml:space="preserve">
</t>
        </r>
        <r>
          <rPr>
            <sz val="10"/>
            <color rgb="FF000000"/>
            <rFont val="Tahoma"/>
            <family val="2"/>
          </rPr>
          <t>The greyed out entries are fixed</t>
        </r>
      </text>
    </comment>
    <comment ref="A129" authorId="0" shapeId="0" xr:uid="{90A0181C-519E-F048-BD55-752FC120B4AD}">
      <text>
        <r>
          <rPr>
            <b/>
            <sz val="10"/>
            <color rgb="FF000000"/>
            <rFont val="Tahoma"/>
            <family val="2"/>
          </rPr>
          <t>Microsoft Office User:</t>
        </r>
        <r>
          <rPr>
            <sz val="10"/>
            <color rgb="FF000000"/>
            <rFont val="Tahoma"/>
            <family val="2"/>
          </rPr>
          <t xml:space="preserve">
</t>
        </r>
        <r>
          <rPr>
            <sz val="10"/>
            <color rgb="FF000000"/>
            <rFont val="Tahoma"/>
            <family val="2"/>
          </rPr>
          <t>this potentially has to be dependent on time series, ask user to do like HFD_timpoint1 - potentially disect it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36" authorId="0" shapeId="0" xr:uid="{C37ED45C-141E-E04C-8BE8-9F29C93E530C}">
      <text>
        <r>
          <rPr>
            <b/>
            <sz val="10"/>
            <color rgb="FF000000"/>
            <rFont val="Tahoma"/>
            <family val="2"/>
          </rPr>
          <t>Microsoft Office User:</t>
        </r>
        <r>
          <rPr>
            <sz val="10"/>
            <color rgb="FF000000"/>
            <rFont val="Tahoma"/>
            <family val="2"/>
          </rPr>
          <t xml:space="preserve">
</t>
        </r>
        <r>
          <rPr>
            <sz val="10"/>
            <color rgb="FF000000"/>
            <rFont val="Tahoma"/>
            <family val="2"/>
          </rPr>
          <t>from days to seconds</t>
        </r>
      </text>
    </comment>
    <comment ref="A56" authorId="0" shapeId="0" xr:uid="{F358065A-0FE8-0946-A70C-15200FAB3694}">
      <text>
        <r>
          <rPr>
            <b/>
            <sz val="10"/>
            <color rgb="FF000000"/>
            <rFont val="Tahoma"/>
            <family val="2"/>
          </rPr>
          <t>Microsoft Office User:</t>
        </r>
        <r>
          <rPr>
            <sz val="10"/>
            <color rgb="FF000000"/>
            <rFont val="Tahoma"/>
            <family val="2"/>
          </rPr>
          <t xml:space="preserve">
</t>
        </r>
        <r>
          <rPr>
            <sz val="10"/>
            <color rgb="FF000000"/>
            <rFont val="Tahoma"/>
            <family val="2"/>
          </rPr>
          <t>the greyed our are fixed and must be provided</t>
        </r>
      </text>
    </comment>
    <comment ref="A57" authorId="0" shapeId="0" xr:uid="{55085DD5-4E54-AB49-9C99-1EB6E2C67399}">
      <text>
        <r>
          <rPr>
            <b/>
            <sz val="10"/>
            <color rgb="FF000000"/>
            <rFont val="Tahoma"/>
            <family val="2"/>
          </rPr>
          <t>Microsoft Office User:</t>
        </r>
        <r>
          <rPr>
            <sz val="10"/>
            <color rgb="FF000000"/>
            <rFont val="Tahoma"/>
            <family val="2"/>
          </rPr>
          <t xml:space="preserve">
</t>
        </r>
        <r>
          <rPr>
            <sz val="10"/>
            <color rgb="FF000000"/>
            <rFont val="Tahoma"/>
            <family val="2"/>
          </rPr>
          <t>The greyed out entries are fixed</t>
        </r>
      </text>
    </comment>
    <comment ref="A113" authorId="0" shapeId="0" xr:uid="{1B18B4C9-EE24-7541-8585-CD22A17A324B}">
      <text>
        <r>
          <rPr>
            <b/>
            <sz val="10"/>
            <color rgb="FF000000"/>
            <rFont val="Tahoma"/>
            <family val="2"/>
          </rPr>
          <t>Microsoft Office User:</t>
        </r>
        <r>
          <rPr>
            <sz val="10"/>
            <color rgb="FF000000"/>
            <rFont val="Tahoma"/>
            <family val="2"/>
          </rPr>
          <t xml:space="preserve">
</t>
        </r>
        <r>
          <rPr>
            <sz val="10"/>
            <color rgb="FF000000"/>
            <rFont val="Tahoma"/>
            <family val="2"/>
          </rPr>
          <t>this potentially has to be dependent on time series, ask user to do like HFD_timpoint1 - potentially disect it here</t>
        </r>
      </text>
    </comment>
    <comment ref="A121" authorId="0" shapeId="0" xr:uid="{B1C13A73-E5B8-B049-94D2-4CA4F779E6A5}">
      <text>
        <r>
          <rPr>
            <b/>
            <sz val="10"/>
            <color rgb="FF000000"/>
            <rFont val="Tahoma"/>
            <family val="2"/>
          </rPr>
          <t>Microsoft Office User:</t>
        </r>
        <r>
          <rPr>
            <sz val="10"/>
            <color rgb="FF000000"/>
            <rFont val="Tahoma"/>
            <family val="2"/>
          </rPr>
          <t xml:space="preserve">
</t>
        </r>
        <r>
          <rPr>
            <sz val="10"/>
            <color rgb="FF000000"/>
            <rFont val="Tahoma"/>
            <family val="2"/>
          </rPr>
          <t xml:space="preserve">If this is 1 =&gt; the other lines should be dependent on Treatmen timeline and specification within
</t>
        </r>
      </text>
    </comment>
  </commentList>
</comments>
</file>

<file path=xl/sharedStrings.xml><?xml version="1.0" encoding="utf-8"?>
<sst xmlns="http://schemas.openxmlformats.org/spreadsheetml/2006/main" count="1238" uniqueCount="422">
  <si>
    <t>General</t>
  </si>
  <si>
    <t>Group</t>
  </si>
  <si>
    <t>Name</t>
  </si>
  <si>
    <t>Date</t>
  </si>
  <si>
    <t>Title</t>
  </si>
  <si>
    <t>comment</t>
  </si>
  <si>
    <t>UUID</t>
  </si>
  <si>
    <t>Should be generated if JSON gets downloaded to avoid issues</t>
  </si>
  <si>
    <t>part_of_collection</t>
  </si>
  <si>
    <t>type_of_link</t>
  </si>
  <si>
    <t>same_exp_different_measurement_technique/..?</t>
  </si>
  <si>
    <t>link_via</t>
  </si>
  <si>
    <t>title/supplied_json_path/same_location</t>
  </si>
  <si>
    <t>Condition</t>
  </si>
  <si>
    <t>Treatment</t>
  </si>
  <si>
    <t>mouse</t>
  </si>
  <si>
    <t>single</t>
  </si>
  <si>
    <t>nested</t>
  </si>
  <si>
    <t>part_of_interest/subsampling</t>
  </si>
  <si>
    <t>desired_outcome/technique</t>
  </si>
  <si>
    <t>final measurement</t>
  </si>
  <si>
    <t>adjustments (facs markers)</t>
  </si>
  <si>
    <t>preparation for measurement</t>
  </si>
  <si>
    <t>automated-post-processing</t>
  </si>
  <si>
    <t>details of such</t>
  </si>
  <si>
    <t>genotype</t>
  </si>
  <si>
    <t>age</t>
  </si>
  <si>
    <t>tissue type</t>
  </si>
  <si>
    <t>do they differ of subsampling?</t>
  </si>
  <si>
    <t>mouseline</t>
  </si>
  <si>
    <t>Experimental System (constant)</t>
  </si>
  <si>
    <t>Input template</t>
  </si>
  <si>
    <t>Experimental system constant?</t>
  </si>
  <si>
    <t>Question</t>
  </si>
  <si>
    <t>Answer</t>
  </si>
  <si>
    <t>Notes</t>
  </si>
  <si>
    <t>Help for Enduser</t>
  </si>
  <si>
    <t xml:space="preserve">Note 1: One Metadata sheet needs to be created for every Experimental System x final Measurement Technique. This template and the Questions within will indicate if your current information renders the need of multiple sheets. </t>
  </si>
  <si>
    <t>This should help to guide you to the appropaite Metadata sheet to fill in while trying to aquire the least amount of effort from you.If you know what you are doing you could jump to the "Final" Sheet and do your adjusments directly in here (or copy paste from a previously made sheet and only correct appropiate paths (e.g. using a different measurement type)</t>
  </si>
  <si>
    <t>What system are you using</t>
  </si>
  <si>
    <t>does the genetic MarkUp change during your experiment? Eg. Different mouse lines, Note not referring here to different genotpes: &gt; if yes a sheet is needed for each system</t>
  </si>
  <si>
    <t>Do you compare K.Os/changing genotypes? (if yes, how many?)</t>
  </si>
  <si>
    <t>Do you compare different ages?  (if yes, how many?)</t>
  </si>
  <si>
    <t>Do you compare treatments (such as diets)  (if yes, how many?)</t>
  </si>
  <si>
    <t>Interrupted in a sense that smaller exp were done like Glucose-Tolerance tests, or in a sense of treatment changes over the timecourse observed</t>
  </si>
  <si>
    <t>Is your Treatment-period interrupted? (if yes, answer the next questions)</t>
  </si>
  <si>
    <t>Is the treatment constant over the time-period studies? (if no, how many changes?)</t>
  </si>
  <si>
    <t>If yes hint to we need at least two sheets</t>
  </si>
  <si>
    <t>If yes do you get the same type of measurement from those? (if yes, how many?)</t>
  </si>
  <si>
    <t>Which measurement type do you use?</t>
  </si>
  <si>
    <t>Is there a subsample-specific preparation procedure?</t>
  </si>
  <si>
    <t>E.g FACS markers differ per cell-population</t>
  </si>
  <si>
    <t>If yes do you also subsample (subsubsample) those? (different cells from one organ?) (if yes how many?)</t>
  </si>
  <si>
    <t>Note if you are using the same organ over the entire procedure but isolate differing cells, your sample source would be the mouse and the subsamples the cells. There for this question should be ansered with no</t>
  </si>
  <si>
    <t>Are you able to provide the raw data?</t>
  </si>
  <si>
    <t>Raw data means here the legit raw data, without any post-processing ! (maybe further help here what raw data would be for different omics types)</t>
  </si>
  <si>
    <t>Do you have additional processed data you want to provide?</t>
  </si>
  <si>
    <t>Boolean</t>
  </si>
  <si>
    <t>Yes</t>
  </si>
  <si>
    <t>No</t>
  </si>
  <si>
    <t>Mouse</t>
  </si>
  <si>
    <t>Cell-line</t>
  </si>
  <si>
    <t>Human</t>
  </si>
  <si>
    <t>Abdullah</t>
  </si>
  <si>
    <t>Aschenbrenner</t>
  </si>
  <si>
    <t>Beyer Lab (DZNE)</t>
  </si>
  <si>
    <t>Burgdorf</t>
  </si>
  <si>
    <t>Düwell</t>
  </si>
  <si>
    <t>Eicke Latz</t>
  </si>
  <si>
    <t>Förster</t>
  </si>
  <si>
    <t>Garbi</t>
  </si>
  <si>
    <t>Hasenauer</t>
  </si>
  <si>
    <t>Heneka</t>
  </si>
  <si>
    <t>Hiller</t>
  </si>
  <si>
    <t>Kolanus</t>
  </si>
  <si>
    <t>Kurts</t>
  </si>
  <si>
    <t>Lukacs-Kornek</t>
  </si>
  <si>
    <t>Mass</t>
  </si>
  <si>
    <t>Meissner</t>
  </si>
  <si>
    <t>Monique Breteler and Biaca Martin (DZNE)</t>
  </si>
  <si>
    <t>Netea and Placek</t>
  </si>
  <si>
    <t>Pfeifer</t>
  </si>
  <si>
    <t>Schlitzer</t>
  </si>
  <si>
    <t>Thiele Lab</t>
  </si>
  <si>
    <t>Wachten</t>
  </si>
  <si>
    <t>Wilhelm</t>
  </si>
  <si>
    <t>Wunderlich</t>
  </si>
  <si>
    <t>Measurement Type</t>
  </si>
  <si>
    <t>bulk_ATAC</t>
  </si>
  <si>
    <t>bulk_metabolomics</t>
  </si>
  <si>
    <t>bulk_proteomics</t>
  </si>
  <si>
    <t>bulk_RNA_seq</t>
  </si>
  <si>
    <t>CODEX</t>
  </si>
  <si>
    <t>flow_cytometry</t>
  </si>
  <si>
    <t>scRNA_seq</t>
  </si>
  <si>
    <t>Western_blots</t>
  </si>
  <si>
    <t>bulk_lipidomics</t>
  </si>
  <si>
    <t>Do you take multiple samples (subsamples) from one sample-source (e.g. multiple organs, from 1 mouse, if yes how many?)</t>
  </si>
  <si>
    <t>Number of Sheets</t>
  </si>
  <si>
    <t>Intepretation Output to EndUser</t>
  </si>
  <si>
    <t>potentially if you only compare different mouselines, addtional sheet maybe not needed; clear distinction between mouse line and genotype possible ?!</t>
  </si>
  <si>
    <t>potentially check wheter indicated (potentially heavily hierarichal design cannot be displaysed hence multiple sheets needed)</t>
  </si>
  <si>
    <t>Experimental System</t>
  </si>
  <si>
    <t>Validation_type</t>
  </si>
  <si>
    <t>string</t>
  </si>
  <si>
    <t>DropDown</t>
  </si>
  <si>
    <t>DropDown_M</t>
  </si>
  <si>
    <t>pattern</t>
  </si>
  <si>
    <t>*</t>
  </si>
  <si>
    <t>[A-Za-z]+</t>
  </si>
  <si>
    <t>[0-9a-f]{8}-[0-9a-f]{4}-[0-9a-f]{4}-[0-9a-f]{4}-[0-9a-f]{12}</t>
  </si>
  <si>
    <t>[A-Za-z0-9_]+</t>
  </si>
  <si>
    <t>^[0-9]+x\s[A-Za-z]+</t>
  </si>
  <si>
    <t>^\w+(?:(?:,\w+)+|(?:\s\w+)+|(?:-\w+)+|(?:$))+$</t>
  </si>
  <si>
    <t>^\w+(?:(?:,\w+)+|(?:\s\w+)+|(?:$))+$</t>
  </si>
  <si>
    <t>^[0-9]*\.?[0-9]+$</t>
  </si>
  <si>
    <t>^\w+(?:(?:,\s\w+)+|(?:\s\w+)+|(?:$))$</t>
  </si>
  <si>
    <t>^\d*\.?\d+$</t>
  </si>
  <si>
    <t>[0-9]+</t>
  </si>
  <si>
    <t>^(?:[Aa-Zz]:)?[\/\\]{0,2}</t>
  </si>
  <si>
    <t>\w</t>
  </si>
  <si>
    <t>\w+</t>
  </si>
  <si>
    <t>^\w+</t>
  </si>
  <si>
    <t>^https://uni-bonn.sciebo.de.*$</t>
  </si>
  <si>
    <t>^\w</t>
  </si>
  <si>
    <t>^\d+</t>
  </si>
  <si>
    <t>^\d{2}:\d{2}$</t>
  </si>
  <si>
    <t>ExcelValidation</t>
  </si>
  <si>
    <t>[A-Za-z]* [A-Za-z]*</t>
  </si>
  <si>
    <t>????????-????-????-????-????????????</t>
  </si>
  <si>
    <t>[A-Za-z]*[A-Za-z0-9_ ]*</t>
  </si>
  <si>
    <t xml:space="preserve">#*x [A-Za-z]*| #'*x [a-z]* </t>
  </si>
  <si>
    <t>[A-Za-z ]*|[a-z ]*|[A-Za-z ]*</t>
  </si>
  <si>
    <t>#*[.]#*|#*</t>
  </si>
  <si>
    <t>[#]*</t>
  </si>
  <si>
    <t>[A-Z]:/[A-Za-z]*|[A-Z]:\[A-Za-z]*|[A-Z]:\\[A-Za-z]*</t>
  </si>
  <si>
    <t>[A-Za-z]*</t>
  </si>
  <si>
    <t>#*</t>
  </si>
  <si>
    <t>#*|#*.#*</t>
  </si>
  <si>
    <t>https://uni-bonn.sciebo.de.[A-Za-z]*</t>
  </si>
  <si>
    <t>##:##</t>
  </si>
  <si>
    <t>help</t>
  </si>
  <si>
    <t>In the current work of progress status you can add here any suggestions of missing fields or addtional information you want to record</t>
  </si>
  <si>
    <t xml:space="preserve">choose one. </t>
  </si>
  <si>
    <t>FirstName (MiddleName(s)) LastName</t>
  </si>
  <si>
    <t>data of format YYYY-MM-DD.</t>
  </si>
  <si>
    <t>do not change.</t>
  </si>
  <si>
    <t>Is not allowed to be a number only.</t>
  </si>
  <si>
    <t>3x daily oder 5x weekly oder 1x yearly.</t>
  </si>
  <si>
    <t>data of format YYYY-MM-DD</t>
  </si>
  <si>
    <t>Choose from Drop Down</t>
  </si>
  <si>
    <t>Should eventually become a drop down list where people could add to it</t>
  </si>
  <si>
    <t>Should eventually become a drop down list where people could add to it and multiple selection possible</t>
  </si>
  <si>
    <t>Should eventually become a drop down list where people could add to it DropDown Menu with multiple selection</t>
  </si>
  <si>
    <t>decimal with dot!</t>
  </si>
  <si>
    <t>DropDown List - correct to only select one? Make this lists potentially group dependent?! (Or maybe differently sorted?!)</t>
  </si>
  <si>
    <t>potentially a drop down list</t>
  </si>
  <si>
    <t>Should become a DropDown List</t>
  </si>
  <si>
    <t>Only Numbers allowed (is the typical patient ID numbers only?)</t>
  </si>
  <si>
    <t>Should this be a real file location-check(?) whether specified location could be a data file location: ATM only check whether it is a valid start, for excel really weak validation..</t>
  </si>
  <si>
    <t>Can we turn this into DropDown? (At the moment one word only)</t>
  </si>
  <si>
    <t>Numbers only (is the typical ID numbers only?)</t>
  </si>
  <si>
    <t>Only the mentioned diets ?! If yes DropDown</t>
  </si>
  <si>
    <t>Make sure to use the correct unit! If your uni is not in the DropDown please - transform accordingly</t>
  </si>
  <si>
    <t>I do not get what should be filled here; with Excel multiple words possible?</t>
  </si>
  <si>
    <t>Select multiple from drop down list</t>
  </si>
  <si>
    <t>Check this and next column - shouldnt it be machine type as key and Illumina-sequencer a possible choice</t>
  </si>
  <si>
    <t>currently only word matching more detailed information needed on backend</t>
  </si>
  <si>
    <t>only allowed SCIEBO paths (to make sure the file can be reached by everyone); simply navigate in the broeser window to the right folder and copy paste the link</t>
  </si>
  <si>
    <t>only one word - numbers wihtin allowed but no special characters</t>
  </si>
  <si>
    <t>Text allowed - potentially issues with not alphanumerical characters</t>
  </si>
  <si>
    <t>currently only numbers allowed (no other signs etc.)</t>
  </si>
  <si>
    <t>currently only numbers allowed</t>
  </si>
  <si>
    <t>fractions possible! Please remeber 1.5 min = 90 secs</t>
  </si>
  <si>
    <t>hh:mm (24hours format!)</t>
  </si>
  <si>
    <t>Working on extending the Drop Down options here if something is missing you can simply write your own and ignore the warning</t>
  </si>
  <si>
    <t>Choose the sex</t>
  </si>
  <si>
    <t>Research group</t>
  </si>
  <si>
    <t>Name of experimentator</t>
  </si>
  <si>
    <t>Date of aquisition</t>
  </si>
  <si>
    <t>Unique data ID</t>
  </si>
  <si>
    <t>Type</t>
  </si>
  <si>
    <t>Frequency</t>
  </si>
  <si>
    <t>Fasting</t>
  </si>
  <si>
    <t>Start point</t>
  </si>
  <si>
    <t>End point</t>
  </si>
  <si>
    <t>Experimental system</t>
  </si>
  <si>
    <t>name of cell line</t>
  </si>
  <si>
    <t>buffer</t>
  </si>
  <si>
    <t>sample type</t>
  </si>
  <si>
    <t>cell passage number</t>
  </si>
  <si>
    <t>age [weeks]</t>
  </si>
  <si>
    <t>name of mouse line</t>
  </si>
  <si>
    <t>isolation procedure</t>
  </si>
  <si>
    <t>weight [g]</t>
  </si>
  <si>
    <t>patientID</t>
  </si>
  <si>
    <t>patient data file</t>
  </si>
  <si>
    <t>cell type</t>
  </si>
  <si>
    <t>Individual ID</t>
  </si>
  <si>
    <t>Experimental setting #1</t>
  </si>
  <si>
    <t>Experimental setting - time [min]</t>
  </si>
  <si>
    <t>Experimental setting - concentration</t>
  </si>
  <si>
    <t>Experimental setting - concentration unit</t>
  </si>
  <si>
    <t>Experimental setting - type of administration</t>
  </si>
  <si>
    <t>Experimental setting - FACS marker</t>
  </si>
  <si>
    <t>Measurement type</t>
  </si>
  <si>
    <t>Machine type</t>
  </si>
  <si>
    <t>Illumina-sequencer</t>
  </si>
  <si>
    <t>sample preparation</t>
  </si>
  <si>
    <t>LC-MS settings</t>
  </si>
  <si>
    <t>Post-acquision software settings</t>
  </si>
  <si>
    <t>PX XML</t>
  </si>
  <si>
    <t>Path</t>
  </si>
  <si>
    <t>Filename</t>
  </si>
  <si>
    <t>Sheet (External)</t>
  </si>
  <si>
    <t>Column name</t>
  </si>
  <si>
    <t>MeasurementID</t>
  </si>
  <si>
    <t>BatchID</t>
  </si>
  <si>
    <t>Time Point [min]</t>
  </si>
  <si>
    <t>Preprocessing</t>
  </si>
  <si>
    <t>Internal ID</t>
  </si>
  <si>
    <t>Replicate</t>
  </si>
  <si>
    <t>Time of day</t>
  </si>
  <si>
    <t>File type</t>
  </si>
  <si>
    <t>Library construction protocol</t>
  </si>
  <si>
    <t>Genome build</t>
  </si>
  <si>
    <t>Remarks</t>
  </si>
  <si>
    <t>Experimental setting</t>
  </si>
  <si>
    <t>mouse sex</t>
  </si>
  <si>
    <t>LD_specification</t>
  </si>
  <si>
    <t>Cell_Line</t>
  </si>
  <si>
    <t>Patient</t>
  </si>
  <si>
    <t>How many groups?</t>
  </si>
  <si>
    <t>treatment</t>
  </si>
  <si>
    <t>How many things do you measure?</t>
  </si>
  <si>
    <t>specification</t>
  </si>
  <si>
    <t>here drop down specific - like names of a mouse line, Patetien Cohort or name of cell line</t>
  </si>
  <si>
    <t>Comparison groups</t>
  </si>
  <si>
    <t>How many replicates per group?</t>
  </si>
  <si>
    <t>Specification of groups (one per column)</t>
  </si>
  <si>
    <t>interruptions to record?</t>
  </si>
  <si>
    <t>Interruption-type</t>
  </si>
  <si>
    <t>continued</t>
  </si>
  <si>
    <t>discontinued</t>
  </si>
  <si>
    <t>Sample-section</t>
  </si>
  <si>
    <t>Sub-Sample Section</t>
  </si>
  <si>
    <t>HFD</t>
  </si>
  <si>
    <t>NFD</t>
  </si>
  <si>
    <t>WT</t>
  </si>
  <si>
    <t>KO</t>
  </si>
  <si>
    <t>GTT</t>
  </si>
  <si>
    <t>treatment_group</t>
  </si>
  <si>
    <t>treatment_replicate</t>
  </si>
  <si>
    <t>genotype_group</t>
  </si>
  <si>
    <t>genotype_replicate</t>
  </si>
  <si>
    <t>age_group</t>
  </si>
  <si>
    <t>age_replicate</t>
  </si>
  <si>
    <t>events during treatment?</t>
  </si>
  <si>
    <t>events</t>
  </si>
  <si>
    <t>covariates / constants</t>
  </si>
  <si>
    <t>both</t>
  </si>
  <si>
    <t>personal_ID</t>
  </si>
  <si>
    <t>global_ID</t>
  </si>
  <si>
    <t>No cols needed:</t>
  </si>
  <si>
    <t>Nr.</t>
  </si>
  <si>
    <t>fixed</t>
  </si>
  <si>
    <t>dependent</t>
  </si>
  <si>
    <t>always optional</t>
  </si>
  <si>
    <t>Interruption-type: discontinued</t>
  </si>
  <si>
    <t>Interruption-type_continued</t>
  </si>
  <si>
    <t>fasting</t>
  </si>
  <si>
    <t>record ID mouse-database-software</t>
  </si>
  <si>
    <t xml:space="preserve">primary cells ex vivo </t>
  </si>
  <si>
    <t>are cells post processed (e.g. cultered?)</t>
  </si>
  <si>
    <t>isolation procedure of cells</t>
  </si>
  <si>
    <t>cytokine array</t>
  </si>
  <si>
    <t>nanostring (Eicke Latz)</t>
  </si>
  <si>
    <t>Sub-Sub-Sample Section</t>
  </si>
  <si>
    <t>NOTE: use the strucutre to add if information if downstream measurement experimental input is sourced from the same sample but has faced different preparation (e.g. different celltypes from one organ would count as subsample, differenet cells from different organs would be subsubsamples, however on cell type from one sample would not need the subsample partition)</t>
  </si>
  <si>
    <t>Preparation</t>
  </si>
  <si>
    <t>Are the taken specimen differently processed?</t>
  </si>
  <si>
    <t>if yes here subsample structure should be needed to fill in, if no "protocol drop-Downs"</t>
  </si>
  <si>
    <t>Need of subsamples</t>
  </si>
  <si>
    <t>Need of subsubsamples</t>
  </si>
  <si>
    <t>ATTENTION: At the moment expects that each sample is split!</t>
  </si>
  <si>
    <t>Kupffer-Cells</t>
  </si>
  <si>
    <t>Hepatocytes</t>
  </si>
  <si>
    <t>Measurement</t>
  </si>
  <si>
    <t>Does the final measurement needs to be adjusted depending on either different samples,subsamples, subsubsamples?</t>
  </si>
  <si>
    <t>diet</t>
  </si>
  <si>
    <t>constants (one per column)</t>
  </si>
  <si>
    <t>covariates captured (one per column)</t>
  </si>
  <si>
    <t>sex</t>
  </si>
  <si>
    <t>frequency</t>
  </si>
  <si>
    <t>procedures</t>
  </si>
  <si>
    <t>Kupffer-Cell_procedure</t>
  </si>
  <si>
    <t>Hepatocyte_procedure</t>
  </si>
  <si>
    <t>diet_group</t>
  </si>
  <si>
    <t>diet_replicate</t>
  </si>
  <si>
    <t>measurement type</t>
  </si>
  <si>
    <t>output file type</t>
  </si>
  <si>
    <t>add option in drop-down whith "changes" -&gt; forwards the validation to the spefici cell in table, where it can be selected</t>
  </si>
  <si>
    <t>subsample_present</t>
  </si>
  <si>
    <t>subsubsample_present</t>
  </si>
  <si>
    <t>measurement-type-dependent</t>
  </si>
  <si>
    <t>sample_match</t>
  </si>
  <si>
    <t>sub_sample-group</t>
  </si>
  <si>
    <t>sub_sample_procedure</t>
  </si>
  <si>
    <t>(potentially the measurement-changes)</t>
  </si>
  <si>
    <t>sub_sample_match</t>
  </si>
  <si>
    <t>sub_sub_sample-group</t>
  </si>
  <si>
    <t>sub_sub_sample_procedure</t>
  </si>
  <si>
    <t>if 1 is in here replicates is no needed (as fixed)</t>
  </si>
  <si>
    <t>Alkohol</t>
  </si>
  <si>
    <t>Time dependent changes</t>
  </si>
  <si>
    <t>Specification of type (one per column)</t>
  </si>
  <si>
    <t>(maybe option time_dependent?!-&gt; then further specific in time-dependent section)</t>
  </si>
  <si>
    <t>weight</t>
  </si>
  <si>
    <t>concentration</t>
  </si>
  <si>
    <t>start</t>
  </si>
  <si>
    <t>end</t>
  </si>
  <si>
    <t>concentration unit</t>
  </si>
  <si>
    <t>if continued specify (one per colum if multiple)</t>
  </si>
  <si>
    <t>Time-Depdence-timeline</t>
  </si>
  <si>
    <t>type_of_time_dependence</t>
  </si>
  <si>
    <t>time_depent_1</t>
  </si>
  <si>
    <t>time_depent_2</t>
  </si>
  <si>
    <t>Start_1</t>
  </si>
  <si>
    <t>End_2</t>
  </si>
  <si>
    <t>End_1</t>
  </si>
  <si>
    <t>Type_1</t>
  </si>
  <si>
    <t>Start_2</t>
  </si>
  <si>
    <t>Type_2</t>
  </si>
  <si>
    <t>(this needs to be depdendet)</t>
  </si>
  <si>
    <t>Lea</t>
  </si>
  <si>
    <t>TestCase1</t>
  </si>
  <si>
    <t xml:space="preserve">_ go through each line and insert the validation specific drop downs </t>
  </si>
  <si>
    <t>_ check specific cells and hide/show dependent lines</t>
  </si>
  <si>
    <t>_ convenience button show/hide all elements</t>
  </si>
  <si>
    <t>How many types?</t>
  </si>
  <si>
    <t>Specification of types (one per column)</t>
  </si>
  <si>
    <t>(here depent on type of timde-dependence add)</t>
  </si>
  <si>
    <t>procedure</t>
  </si>
  <si>
    <t>_ Measurement dependent fields</t>
  </si>
  <si>
    <t>experimental system depdentn + option "changes"</t>
  </si>
  <si>
    <t>specify constant value</t>
  </si>
  <si>
    <t>BMI</t>
  </si>
  <si>
    <t>Data Export</t>
  </si>
  <si>
    <t>pM</t>
  </si>
  <si>
    <t>nM</t>
  </si>
  <si>
    <t>mM</t>
  </si>
  <si>
    <t>HSD</t>
  </si>
  <si>
    <t>NSD</t>
  </si>
  <si>
    <t>LSD</t>
  </si>
  <si>
    <t>LFD</t>
  </si>
  <si>
    <t>male</t>
  </si>
  <si>
    <t>female</t>
  </si>
  <si>
    <t>NA</t>
  </si>
  <si>
    <t>liver</t>
  </si>
  <si>
    <t>blood</t>
  </si>
  <si>
    <t>heart</t>
  </si>
  <si>
    <t>adipose-tissue</t>
  </si>
  <si>
    <t>old</t>
  </si>
  <si>
    <t>young</t>
  </si>
  <si>
    <t>normal_procedure</t>
  </si>
  <si>
    <t>Procedure_type_a</t>
  </si>
  <si>
    <t>Procedure_type_b</t>
  </si>
  <si>
    <t>Procedure_type_a_protocol</t>
  </si>
  <si>
    <t>Procedure_type_b_protocol</t>
  </si>
  <si>
    <t>machine_1</t>
  </si>
  <si>
    <t>changes</t>
  </si>
  <si>
    <t>fix</t>
  </si>
  <si>
    <r>
      <rPr>
        <sz val="12"/>
        <color rgb="FF92D050"/>
        <rFont val="Calibri (Body)"/>
      </rPr>
      <t xml:space="preserve">_ if yes how many -&gt;color needed cols </t>
    </r>
    <r>
      <rPr>
        <sz val="12"/>
        <color rgb="FF92D050"/>
        <rFont val="Calibri"/>
        <family val="2"/>
        <scheme val="minor"/>
      </rPr>
      <t>+</t>
    </r>
    <r>
      <rPr>
        <sz val="12"/>
        <color theme="1"/>
        <rFont val="Calibri"/>
        <family val="2"/>
        <scheme val="minor"/>
      </rPr>
      <t xml:space="preserve"> add group dependet dropDowns</t>
    </r>
  </si>
  <si>
    <t>Type A</t>
  </si>
  <si>
    <t>other</t>
  </si>
  <si>
    <t>More than one of the following?</t>
  </si>
  <si>
    <t>final_groups</t>
  </si>
  <si>
    <t>concentration_unit</t>
  </si>
  <si>
    <t>unique_group</t>
  </si>
  <si>
    <t>unique_group_replicate</t>
  </si>
  <si>
    <t>other_group</t>
  </si>
  <si>
    <t>Ethanol</t>
  </si>
  <si>
    <t>HFD x Alkohol</t>
  </si>
  <si>
    <t>NFD x Alkohol</t>
  </si>
  <si>
    <t>HFD x Ethanol</t>
  </si>
  <si>
    <t>NFD x Ethanol</t>
  </si>
  <si>
    <t>Res</t>
  </si>
  <si>
    <t>Res x Alkohol</t>
  </si>
  <si>
    <t>Res x Ethanol</t>
  </si>
  <si>
    <t>constantA</t>
  </si>
  <si>
    <t>Time-Dependence-timeline</t>
  </si>
  <si>
    <t>THIS NEEDS TO BE DONE</t>
  </si>
  <si>
    <t>_add No per groups dependent validation to fields</t>
  </si>
  <si>
    <t>_add timeline fields depedent on specified number</t>
  </si>
  <si>
    <t>_ add  dependent DropDowns (see specification based on Experimental System)</t>
  </si>
  <si>
    <t>.txt</t>
  </si>
  <si>
    <t>.h5</t>
  </si>
  <si>
    <t>.hdf5</t>
  </si>
  <si>
    <t>to_be_filled</t>
  </si>
  <si>
    <t>Test</t>
  </si>
  <si>
    <t>total_groups</t>
  </si>
  <si>
    <t>Showcase</t>
  </si>
  <si>
    <t>group</t>
  </si>
  <si>
    <t>_add constant terms whenever not "changes" chosen</t>
  </si>
  <si>
    <t>Hepatocytes_procedure</t>
  </si>
  <si>
    <t>ID_lvl1_HFD x Alkohol_1</t>
  </si>
  <si>
    <t>ID_lvl1_HFD x Alkohol_2</t>
  </si>
  <si>
    <t>ID_lvl1_HFD x Ethanol_3</t>
  </si>
  <si>
    <t>ID_lvl1_HFD x Ethanol_4</t>
  </si>
  <si>
    <t>ID_lvl1_NFD x Alkohol_5</t>
  </si>
  <si>
    <t>ID_lvl1_NFD x Alkohol_6</t>
  </si>
  <si>
    <t>ID_lvl1_NFD x Ethanol_7</t>
  </si>
  <si>
    <t>ID_lvl1_NFD x Ethanol_8</t>
  </si>
  <si>
    <t>ID_lvl1_Res x Alkohol_9</t>
  </si>
  <si>
    <t>ID_lvl1_Res x Alkohol_10</t>
  </si>
  <si>
    <t>ID_lvl1_Res x Ethanol_11</t>
  </si>
  <si>
    <t>ID_lvl1_Res x Ethanol_12</t>
  </si>
  <si>
    <t>replicates (one per column)</t>
  </si>
  <si>
    <t>ID_lvl2_Kupffer-Cells_1_Kupffer-Cell_procedure</t>
  </si>
  <si>
    <t>ID_lvl2_Hepatocytes_1_Hepatocytes_procedure</t>
  </si>
  <si>
    <t>ID_lvl3_ID_lvl2_Kupffer-Cells_1_Kupffer-Cell_procedure_Type A_1</t>
  </si>
  <si>
    <t>ID_lvl3_ID_lvl2_Hepatocytes_1_Hepatocytes_procedure_Type A_1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</si>
</sst>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b/>
      <sz val="12"/>
      <color theme="1"/>
      <name val="Calibri"/>
      <family val="2"/>
      <scheme val="minor"/>
    </font>
    <font>
      <sz val="12"/>
      <color theme="0" tint="-0.499984740745262"/>
      <name val="Calibri"/>
      <family val="2"/>
      <scheme val="minor"/>
    </font>
    <font>
      <sz val="12"/>
      <color theme="1"/>
      <name val="Arial"/>
      <family val="2"/>
    </font>
    <font>
      <b/>
      <sz val="12"/>
      <color theme="1"/>
      <name val="Arial"/>
      <family val="2"/>
    </font>
    <font>
      <sz val="12"/>
      <color theme="1"/>
      <name val="Roboto"/>
    </font>
    <font>
      <sz val="12"/>
      <color rgb="FFC00000"/>
      <name val="Calibri"/>
      <family val="2"/>
      <scheme val="minor"/>
    </font>
    <font>
      <sz val="10"/>
      <color rgb="FF000000"/>
      <name val="Tahoma"/>
      <family val="2"/>
    </font>
    <font>
      <b/>
      <sz val="10"/>
      <color rgb="FF000000"/>
      <name val="Tahoma"/>
      <family val="2"/>
    </font>
    <font>
      <sz val="12"/>
      <color theme="1"/>
      <name val="Calibri"/>
      <family val="2"/>
    </font>
    <font>
      <b/>
      <sz val="12"/>
      <color rgb="FF000000"/>
      <name val="Arial"/>
      <family val="2"/>
    </font>
    <font>
      <sz val="13"/>
      <color theme="1"/>
      <name val="Helvetica Neue"/>
      <family val="2"/>
    </font>
    <font>
      <i/>
      <sz val="12"/>
      <color theme="1"/>
      <name val="Calibri"/>
      <family val="2"/>
      <scheme val="minor"/>
    </font>
    <font>
      <b/>
      <i/>
      <sz val="12"/>
      <color theme="1"/>
      <name val="Calibri"/>
      <family val="2"/>
      <scheme val="minor"/>
    </font>
    <font>
      <sz val="12"/>
      <color theme="9"/>
      <name val="Calibri (Body)"/>
    </font>
    <font>
      <sz val="12"/>
      <color theme="9"/>
      <name val="Calibri"/>
      <family val="2"/>
      <scheme val="minor"/>
    </font>
    <font>
      <sz val="12"/>
      <color rgb="FF92D050"/>
      <name val="Calibri (Body)"/>
    </font>
    <font>
      <sz val="12"/>
      <color rgb="FF92D050"/>
      <name val="Calibri"/>
      <family val="2"/>
      <scheme val="minor"/>
    </font>
    <font>
      <sz val="12"/>
      <color theme="0" tint="-0.499984740745262"/>
      <name val="Calibri (Body)"/>
    </font>
    <font>
      <i/>
      <sz val="12"/>
      <color theme="0" tint="-0.499984740745262"/>
      <name val="Calibri"/>
      <family val="2"/>
      <scheme val="minor"/>
    </font>
    <font>
      <sz val="12"/>
      <color rgb="FF000000"/>
      <name val="Calibri"/>
      <family val="2"/>
      <scheme val="minor"/>
    </font>
  </fonts>
  <fills count="9">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ABA7A7"/>
        <bgColor indexed="64"/>
      </patternFill>
    </fill>
    <fill>
      <patternFill patternType="solid">
        <fgColor theme="0" tint="-4.9989318521683403E-2"/>
        <bgColor indexed="64"/>
      </patternFill>
    </fill>
    <fill>
      <patternFill patternType="solid">
        <fgColor rgb="FFFDF2D0"/>
        <bgColor indexed="64"/>
      </patternFill>
    </fill>
  </fills>
  <borders count="1">
    <border>
      <left/>
      <right/>
      <top/>
      <bottom/>
      <diagonal/>
    </border>
  </borders>
  <cellStyleXfs count="1">
    <xf numFmtId="0" fontId="0" fillId="0" borderId="0"/>
  </cellStyleXfs>
  <cellXfs count="53">
    <xf numFmtId="0" fontId="0" fillId="0" borderId="0" xfId="0"/>
    <xf numFmtId="0" fontId="1" fillId="0" borderId="0" xfId="0" applyFont="1"/>
    <xf numFmtId="0" fontId="2" fillId="0" borderId="0" xfId="0" applyFont="1"/>
    <xf numFmtId="0" fontId="0" fillId="0" borderId="0" xfId="0" applyFont="1"/>
    <xf numFmtId="0" fontId="3" fillId="0" borderId="0" xfId="0" applyFont="1"/>
    <xf numFmtId="0" fontId="4" fillId="0" borderId="0" xfId="0" applyFont="1"/>
    <xf numFmtId="0" fontId="5" fillId="0" borderId="0" xfId="0" applyFont="1"/>
    <xf numFmtId="0" fontId="6" fillId="0" borderId="0" xfId="0" applyFont="1"/>
    <xf numFmtId="0" fontId="0" fillId="2" borderId="0" xfId="0" applyFont="1" applyFill="1"/>
    <xf numFmtId="0" fontId="0" fillId="0" borderId="0" xfId="0" applyFill="1"/>
    <xf numFmtId="0" fontId="0" fillId="3" borderId="0" xfId="0" applyFill="1"/>
    <xf numFmtId="0" fontId="0" fillId="4" borderId="0" xfId="0" applyFill="1"/>
    <xf numFmtId="0" fontId="0" fillId="5" borderId="0" xfId="0" applyFill="1"/>
    <xf numFmtId="0" fontId="0" fillId="4" borderId="0" xfId="0" applyFont="1" applyFill="1"/>
    <xf numFmtId="0" fontId="0" fillId="5" borderId="0" xfId="0" applyFont="1" applyFill="1"/>
    <xf numFmtId="14" fontId="0" fillId="0" borderId="0" xfId="0" applyNumberFormat="1"/>
    <xf numFmtId="0" fontId="0" fillId="0" borderId="0" xfId="0" applyAlignment="1">
      <alignment wrapText="1"/>
    </xf>
    <xf numFmtId="0" fontId="0" fillId="0" borderId="0" xfId="0" applyFont="1" applyAlignment="1">
      <alignment wrapText="1"/>
    </xf>
    <xf numFmtId="0" fontId="1" fillId="0" borderId="0" xfId="0" applyFont="1" applyAlignment="1">
      <alignment wrapText="1"/>
    </xf>
    <xf numFmtId="0" fontId="9" fillId="0" borderId="0" xfId="0" applyFont="1"/>
    <xf numFmtId="0" fontId="10" fillId="0" borderId="0" xfId="0" applyFont="1"/>
    <xf numFmtId="0" fontId="11" fillId="0" borderId="0" xfId="0" applyFont="1"/>
    <xf numFmtId="0" fontId="0" fillId="0" borderId="0" xfId="0" applyAlignment="1"/>
    <xf numFmtId="0" fontId="12" fillId="0" borderId="0" xfId="0" applyFont="1"/>
    <xf numFmtId="0" fontId="13" fillId="0" borderId="0" xfId="0" applyFont="1"/>
    <xf numFmtId="0" fontId="14" fillId="0" borderId="0" xfId="0" applyFont="1" applyAlignment="1"/>
    <xf numFmtId="0" fontId="0" fillId="0" borderId="0" xfId="0" applyFont="1" applyFill="1"/>
    <xf numFmtId="0" fontId="15" fillId="0" borderId="0" xfId="0" applyFont="1" applyAlignment="1"/>
    <xf numFmtId="0" fontId="0" fillId="6" borderId="0" xfId="0" applyFill="1"/>
    <xf numFmtId="0" fontId="0" fillId="6" borderId="0" xfId="0" applyFont="1" applyFill="1"/>
    <xf numFmtId="0" fontId="6" fillId="0" borderId="0" xfId="0" applyFont="1" applyFill="1"/>
    <xf numFmtId="0" fontId="1" fillId="0" borderId="0" xfId="0" applyFont="1" applyFill="1"/>
    <xf numFmtId="0" fontId="20" fillId="2" borderId="0" xfId="0" applyFont="1" applyFill="1"/>
    <xf numFmtId="0" fontId="0" fillId="0" borderId="0" xfId="0" applyFill="1" applyBorder="1"/>
    <xf numFmtId="0" fontId="0" fillId="0" borderId="0" xfId="0" applyBorder="1"/>
    <xf numFmtId="0" fontId="2" fillId="0" borderId="0" xfId="0" applyFont="1" applyFill="1" applyBorder="1"/>
    <xf numFmtId="0" fontId="0" fillId="0" borderId="0" xfId="0" applyFont="1" applyFill="1" applyBorder="1"/>
    <xf numFmtId="0" fontId="0" fillId="8" borderId="0" xfId="0" applyFill="1"/>
    <xf numFmtId="0" fontId="0" fillId="8" borderId="0" xfId="0" applyFont="1" applyFill="1"/>
    <xf numFmtId="0" fontId="1" fillId="0" borderId="0" xfId="0" applyFont="1" applyFill="1" applyBorder="1"/>
    <xf numFmtId="14" fontId="0" fillId="0" borderId="0" xfId="0" applyNumberFormat="1" applyFill="1" applyBorder="1"/>
    <xf numFmtId="0" fontId="12" fillId="0" borderId="0" xfId="0" applyFont="1" applyFill="1" applyBorder="1"/>
    <xf numFmtId="0" fontId="1" fillId="3" borderId="0" xfId="0" applyFont="1" applyFill="1" applyBorder="1"/>
    <xf numFmtId="0" fontId="0" fillId="8" borderId="0" xfId="0" applyFill="1" applyBorder="1"/>
    <xf numFmtId="0" fontId="18" fillId="0" borderId="0" xfId="0" applyFont="1" applyFill="1" applyBorder="1"/>
    <xf numFmtId="0" fontId="6" fillId="0" borderId="0" xfId="0" applyFont="1" applyFill="1" applyBorder="1"/>
    <xf numFmtId="0" fontId="19" fillId="0" borderId="0" xfId="0" applyFont="1" applyFill="1" applyBorder="1"/>
    <xf numFmtId="0" fontId="13" fillId="0" borderId="0" xfId="0" applyFont="1" applyFill="1" applyBorder="1"/>
    <xf numFmtId="0" fontId="13" fillId="7" borderId="0" xfId="0" applyFont="1" applyFill="1" applyBorder="1"/>
    <xf numFmtId="0" fontId="0" fillId="0" borderId="0" xfId="0" applyFont="1" applyAlignment="1"/>
    <xf numFmtId="0" fontId="0" fillId="0" borderId="0" xfId="0" applyAlignment="1">
      <alignment horizontal="left" vertical="center" wrapText="1"/>
    </xf>
    <xf numFmtId="0" fontId="0" fillId="0" borderId="0" xfId="0" applyAlignment="1">
      <alignment horizontal="left" vertical="top" wrapText="1"/>
    </xf>
    <xf numFmtId="0" fontId="1" fillId="0" borderId="0" xfId="0" applyFont="1" applyAlignment="1">
      <alignment horizontal="center"/>
    </xf>
  </cellXfs>
  <cellStyles count="1">
    <cellStyle name="Normal" xfId="0" builtinId="0"/>
  </cellStyles>
  <dxfs count="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32</xdr:row>
      <xdr:rowOff>76200</xdr:rowOff>
    </xdr:from>
    <xdr:to>
      <xdr:col>4</xdr:col>
      <xdr:colOff>546100</xdr:colOff>
      <xdr:row>54</xdr:row>
      <xdr:rowOff>101600</xdr:rowOff>
    </xdr:to>
    <xdr:pic>
      <xdr:nvPicPr>
        <xdr:cNvPr id="2" name="Picture 1">
          <a:extLst>
            <a:ext uri="{FF2B5EF4-FFF2-40B4-BE49-F238E27FC236}">
              <a16:creationId xmlns:a16="http://schemas.microsoft.com/office/drawing/2014/main" id="{45C389F9-B49B-C24B-8AAD-593EBF5A95F2}"/>
            </a:ext>
          </a:extLst>
        </xdr:cNvPr>
        <xdr:cNvPicPr>
          <a:picLocks noChangeAspect="1"/>
        </xdr:cNvPicPr>
      </xdr:nvPicPr>
      <xdr:blipFill>
        <a:blip xmlns:r="http://schemas.openxmlformats.org/officeDocument/2006/relationships" r:embed="rId1"/>
        <a:stretch>
          <a:fillRect/>
        </a:stretch>
      </xdr:blipFill>
      <xdr:spPr>
        <a:xfrm>
          <a:off x="127000" y="7137400"/>
          <a:ext cx="11010900" cy="449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58616</xdr:colOff>
      <xdr:row>0</xdr:row>
      <xdr:rowOff>9769</xdr:rowOff>
    </xdr:from>
    <xdr:to>
      <xdr:col>0</xdr:col>
      <xdr:colOff>1699846</xdr:colOff>
      <xdr:row>1</xdr:row>
      <xdr:rowOff>0</xdr:rowOff>
    </xdr:to>
    <xdr:sp macro="[0]!Hide_unnecassary.Hide_unnecassary" textlink="">
      <xdr:nvSpPr>
        <xdr:cNvPr id="11" name="Rectangle 10">
          <a:extLst>
            <a:ext uri="{FF2B5EF4-FFF2-40B4-BE49-F238E27FC236}">
              <a16:creationId xmlns:a16="http://schemas.microsoft.com/office/drawing/2014/main" id="{B0026B0E-7A85-5F41-8F0F-FC83A2B10ADC}"/>
            </a:ext>
          </a:extLst>
        </xdr:cNvPr>
        <xdr:cNvSpPr/>
      </xdr:nvSpPr>
      <xdr:spPr>
        <a:xfrm>
          <a:off x="58616" y="9769"/>
          <a:ext cx="1641230" cy="195385"/>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Hide</a:t>
          </a:r>
          <a:r>
            <a:rPr lang="en-US" sz="1100" baseline="0"/>
            <a:t> all unnecassary</a:t>
          </a:r>
          <a:endParaRPr lang="en-US" sz="1100"/>
        </a:p>
      </xdr:txBody>
    </xdr:sp>
    <xdr:clientData/>
  </xdr:twoCellAnchor>
  <xdr:twoCellAnchor>
    <xdr:from>
      <xdr:col>1</xdr:col>
      <xdr:colOff>9769</xdr:colOff>
      <xdr:row>0</xdr:row>
      <xdr:rowOff>0</xdr:rowOff>
    </xdr:from>
    <xdr:to>
      <xdr:col>1</xdr:col>
      <xdr:colOff>3126154</xdr:colOff>
      <xdr:row>1</xdr:row>
      <xdr:rowOff>19538</xdr:rowOff>
    </xdr:to>
    <xdr:sp macro="" textlink="">
      <xdr:nvSpPr>
        <xdr:cNvPr id="16" name="Rectangle 15">
          <a:extLst>
            <a:ext uri="{FF2B5EF4-FFF2-40B4-BE49-F238E27FC236}">
              <a16:creationId xmlns:a16="http://schemas.microsoft.com/office/drawing/2014/main" id="{9D4E3304-F14E-7D49-9D1B-E0C79C619549}"/>
            </a:ext>
          </a:extLst>
        </xdr:cNvPr>
        <xdr:cNvSpPr/>
      </xdr:nvSpPr>
      <xdr:spPr>
        <a:xfrm>
          <a:off x="2706077" y="0"/>
          <a:ext cx="3116385" cy="224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group</a:t>
          </a:r>
          <a:r>
            <a:rPr lang="en-US" sz="1100" baseline="0"/>
            <a:t> specific?</a:t>
          </a:r>
          <a:endParaRPr lang="en-US" sz="1100"/>
        </a:p>
      </xdr:txBody>
    </xdr:sp>
    <xdr:clientData/>
  </xdr:twoCellAnchor>
  <xdr:twoCellAnchor>
    <xdr:from>
      <xdr:col>0</xdr:col>
      <xdr:colOff>1543538</xdr:colOff>
      <xdr:row>63</xdr:row>
      <xdr:rowOff>19538</xdr:rowOff>
    </xdr:from>
    <xdr:to>
      <xdr:col>1</xdr:col>
      <xdr:colOff>0</xdr:colOff>
      <xdr:row>63</xdr:row>
      <xdr:rowOff>205153</xdr:rowOff>
    </xdr:to>
    <xdr:sp macro="[0]!generate_total_groups.generate_total_groups" textlink="">
      <xdr:nvSpPr>
        <xdr:cNvPr id="2" name="Rectangle 1">
          <a:extLst>
            <a:ext uri="{FF2B5EF4-FFF2-40B4-BE49-F238E27FC236}">
              <a16:creationId xmlns:a16="http://schemas.microsoft.com/office/drawing/2014/main" id="{FD100A36-1DAD-3644-861D-CB35511CE26A}"/>
            </a:ext>
          </a:extLst>
        </xdr:cNvPr>
        <xdr:cNvSpPr/>
      </xdr:nvSpPr>
      <xdr:spPr>
        <a:xfrm>
          <a:off x="1543538" y="10072076"/>
          <a:ext cx="1504462" cy="185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twoCellAnchor>
    <xdr:from>
      <xdr:col>3</xdr:col>
      <xdr:colOff>9770</xdr:colOff>
      <xdr:row>121</xdr:row>
      <xdr:rowOff>1</xdr:rowOff>
    </xdr:from>
    <xdr:to>
      <xdr:col>4</xdr:col>
      <xdr:colOff>0</xdr:colOff>
      <xdr:row>122</xdr:row>
      <xdr:rowOff>1</xdr:rowOff>
    </xdr:to>
    <xdr:sp macro="[0]!produceSample_table" textlink="">
      <xdr:nvSpPr>
        <xdr:cNvPr id="10" name="Rectangle 9">
          <a:extLst>
            <a:ext uri="{FF2B5EF4-FFF2-40B4-BE49-F238E27FC236}">
              <a16:creationId xmlns:a16="http://schemas.microsoft.com/office/drawing/2014/main" id="{4ED827EE-3ED4-6346-A827-7D773654D3EF}"/>
            </a:ext>
          </a:extLst>
        </xdr:cNvPr>
        <xdr:cNvSpPr/>
      </xdr:nvSpPr>
      <xdr:spPr>
        <a:xfrm>
          <a:off x="7561385" y="21980770"/>
          <a:ext cx="1230923" cy="2051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generate/update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58616</xdr:colOff>
      <xdr:row>0</xdr:row>
      <xdr:rowOff>9769</xdr:rowOff>
    </xdr:from>
    <xdr:to>
      <xdr:col>0</xdr:col>
      <xdr:colOff>1699846</xdr:colOff>
      <xdr:row>1</xdr:row>
      <xdr:rowOff>0</xdr:rowOff>
    </xdr:to>
    <xdr:sp macro="[0]!Hide_unnecassary.Hide_unnecassary" textlink="">
      <xdr:nvSpPr>
        <xdr:cNvPr id="2" name="Rectangle 1">
          <a:extLst>
            <a:ext uri="{FF2B5EF4-FFF2-40B4-BE49-F238E27FC236}">
              <a16:creationId xmlns:a16="http://schemas.microsoft.com/office/drawing/2014/main" id="{05E8AAA3-3D22-534C-93AC-F50FAFC4AE6D}"/>
            </a:ext>
          </a:extLst>
        </xdr:cNvPr>
        <xdr:cNvSpPr/>
      </xdr:nvSpPr>
      <xdr:spPr>
        <a:xfrm>
          <a:off x="58616" y="9769"/>
          <a:ext cx="1641230" cy="19343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Hide</a:t>
          </a:r>
          <a:r>
            <a:rPr lang="en-US" sz="1100" baseline="0"/>
            <a:t> all unnecassary</a:t>
          </a:r>
          <a:endParaRPr lang="en-US" sz="1100"/>
        </a:p>
      </xdr:txBody>
    </xdr:sp>
    <xdr:clientData/>
  </xdr:twoCellAnchor>
  <xdr:twoCellAnchor>
    <xdr:from>
      <xdr:col>1</xdr:col>
      <xdr:colOff>9769</xdr:colOff>
      <xdr:row>0</xdr:row>
      <xdr:rowOff>0</xdr:rowOff>
    </xdr:from>
    <xdr:to>
      <xdr:col>1</xdr:col>
      <xdr:colOff>3126154</xdr:colOff>
      <xdr:row>1</xdr:row>
      <xdr:rowOff>19538</xdr:rowOff>
    </xdr:to>
    <xdr:sp macro="" textlink="">
      <xdr:nvSpPr>
        <xdr:cNvPr id="3" name="Rectangle 2">
          <a:extLst>
            <a:ext uri="{FF2B5EF4-FFF2-40B4-BE49-F238E27FC236}">
              <a16:creationId xmlns:a16="http://schemas.microsoft.com/office/drawing/2014/main" id="{F38A8E1E-C624-2542-A8FD-0A46B601B3E5}"/>
            </a:ext>
          </a:extLst>
        </xdr:cNvPr>
        <xdr:cNvSpPr/>
      </xdr:nvSpPr>
      <xdr:spPr>
        <a:xfrm>
          <a:off x="2956169" y="0"/>
          <a:ext cx="3116385" cy="2227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group</a:t>
          </a:r>
          <a:r>
            <a:rPr lang="en-US" sz="1100" baseline="0"/>
            <a:t> specific?</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taData_Input_Example_v1.1_Cliv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row r="9">
          <cell r="D9" t="b">
            <v>0</v>
          </cell>
        </row>
        <row r="11">
          <cell r="F11" t="b">
            <v>1</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Validation_Wachten"/>
      <sheetName val="Validation_Kolanus"/>
      <sheetName val="Validation_Wilhelm"/>
      <sheetName val="Notes"/>
      <sheetName val="BackUp"/>
      <sheetName val="dependentFields"/>
      <sheetName val="Validation"/>
      <sheetName val="Validation_Abdullah"/>
      <sheetName val="Validation_Hasenauer"/>
      <sheetName val="Validation_Aschenbrenner"/>
      <sheetName val="Validation_Mas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5">
          <cell r="Z35" t="b">
            <v>1</v>
          </cell>
        </row>
      </sheetData>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28729-197E-6C40-A4C5-1C31C8EFD52C}">
  <sheetPr codeName="Sheet1"/>
  <dimension ref="A1:O56"/>
  <sheetViews>
    <sheetView topLeftCell="A7" workbookViewId="0">
      <selection activeCell="B13" sqref="B13"/>
    </sheetView>
  </sheetViews>
  <sheetFormatPr baseColWidth="10" defaultRowHeight="16" x14ac:dyDescent="0.2"/>
  <cols>
    <col min="1" max="1" width="103.33203125" customWidth="1"/>
    <col min="2" max="2" width="16.33203125" customWidth="1"/>
    <col min="3" max="3" width="8.5" customWidth="1"/>
    <col min="14" max="14" width="28.6640625" customWidth="1"/>
  </cols>
  <sheetData>
    <row r="1" spans="1:15" x14ac:dyDescent="0.2">
      <c r="A1" s="50" t="s">
        <v>38</v>
      </c>
      <c r="B1" s="50"/>
      <c r="C1" s="50"/>
      <c r="D1" s="50"/>
      <c r="E1" s="50"/>
      <c r="F1" s="50"/>
      <c r="G1" s="50"/>
      <c r="H1" s="50"/>
      <c r="I1" s="50"/>
      <c r="J1" s="50"/>
      <c r="K1" s="50"/>
      <c r="L1" s="50"/>
      <c r="M1" s="50"/>
      <c r="N1" s="50"/>
      <c r="O1" s="50"/>
    </row>
    <row r="2" spans="1:15" ht="43" customHeight="1" x14ac:dyDescent="0.2">
      <c r="A2" s="50"/>
      <c r="B2" s="50"/>
      <c r="C2" s="50"/>
      <c r="D2" s="50"/>
      <c r="E2" s="50"/>
      <c r="F2" s="50"/>
      <c r="G2" s="50"/>
      <c r="H2" s="50"/>
      <c r="I2" s="50"/>
      <c r="J2" s="50"/>
      <c r="K2" s="50"/>
      <c r="L2" s="50"/>
      <c r="M2" s="50"/>
      <c r="N2" s="50"/>
      <c r="O2" s="50"/>
    </row>
    <row r="4" spans="1:15" ht="33" customHeight="1" x14ac:dyDescent="0.2">
      <c r="A4" s="51" t="s">
        <v>37</v>
      </c>
      <c r="B4" s="51"/>
      <c r="C4" s="51"/>
      <c r="D4" s="51"/>
      <c r="E4" s="51"/>
      <c r="F4" s="51"/>
      <c r="G4" s="51"/>
      <c r="H4" s="51"/>
      <c r="I4" s="51"/>
      <c r="J4" s="51"/>
      <c r="K4" s="51"/>
      <c r="L4" s="51"/>
      <c r="M4" s="51"/>
      <c r="N4" s="51"/>
      <c r="O4" s="51"/>
    </row>
    <row r="9" spans="1:15" x14ac:dyDescent="0.2">
      <c r="A9" s="1" t="s">
        <v>33</v>
      </c>
      <c r="B9" s="52" t="s">
        <v>34</v>
      </c>
      <c r="C9" s="52"/>
      <c r="D9" s="1" t="s">
        <v>35</v>
      </c>
      <c r="E9" s="1" t="s">
        <v>36</v>
      </c>
    </row>
    <row r="10" spans="1:15" x14ac:dyDescent="0.2">
      <c r="A10" t="s">
        <v>1</v>
      </c>
      <c r="B10" t="s">
        <v>64</v>
      </c>
      <c r="E10" s="1"/>
    </row>
    <row r="11" spans="1:15" x14ac:dyDescent="0.2">
      <c r="A11" t="s">
        <v>39</v>
      </c>
      <c r="B11" t="s">
        <v>60</v>
      </c>
    </row>
    <row r="12" spans="1:15" x14ac:dyDescent="0.2">
      <c r="A12" t="s">
        <v>32</v>
      </c>
      <c r="B12" t="s">
        <v>59</v>
      </c>
      <c r="E12" t="s">
        <v>40</v>
      </c>
    </row>
    <row r="13" spans="1:15" x14ac:dyDescent="0.2">
      <c r="A13" t="s">
        <v>41</v>
      </c>
      <c r="B13" t="s">
        <v>58</v>
      </c>
      <c r="C13">
        <v>3</v>
      </c>
      <c r="E13" t="s">
        <v>100</v>
      </c>
    </row>
    <row r="14" spans="1:15" x14ac:dyDescent="0.2">
      <c r="A14" t="s">
        <v>43</v>
      </c>
      <c r="B14" t="s">
        <v>58</v>
      </c>
    </row>
    <row r="15" spans="1:15" x14ac:dyDescent="0.2">
      <c r="A15" t="s">
        <v>42</v>
      </c>
      <c r="B15" t="s">
        <v>59</v>
      </c>
    </row>
    <row r="16" spans="1:15" x14ac:dyDescent="0.2">
      <c r="A16" t="s">
        <v>45</v>
      </c>
      <c r="B16" t="s">
        <v>58</v>
      </c>
      <c r="E16" t="s">
        <v>44</v>
      </c>
    </row>
    <row r="17" spans="1:5" x14ac:dyDescent="0.2">
      <c r="A17" s="2" t="s">
        <v>46</v>
      </c>
      <c r="B17" t="s">
        <v>59</v>
      </c>
    </row>
    <row r="18" spans="1:5" x14ac:dyDescent="0.2">
      <c r="A18" t="s">
        <v>97</v>
      </c>
      <c r="B18" t="s">
        <v>58</v>
      </c>
    </row>
    <row r="19" spans="1:5" x14ac:dyDescent="0.2">
      <c r="A19" t="s">
        <v>52</v>
      </c>
      <c r="B19" t="s">
        <v>58</v>
      </c>
      <c r="E19" t="s">
        <v>53</v>
      </c>
    </row>
    <row r="20" spans="1:5" x14ac:dyDescent="0.2">
      <c r="A20" s="2" t="s">
        <v>48</v>
      </c>
      <c r="B20" t="s">
        <v>58</v>
      </c>
      <c r="E20" t="s">
        <v>47</v>
      </c>
    </row>
    <row r="21" spans="1:5" x14ac:dyDescent="0.2">
      <c r="A21" s="3" t="s">
        <v>234</v>
      </c>
      <c r="B21">
        <v>1</v>
      </c>
    </row>
    <row r="22" spans="1:5" x14ac:dyDescent="0.2">
      <c r="A22" t="s">
        <v>49</v>
      </c>
      <c r="B22" t="s">
        <v>90</v>
      </c>
    </row>
    <row r="23" spans="1:5" x14ac:dyDescent="0.2">
      <c r="A23" s="2" t="s">
        <v>50</v>
      </c>
      <c r="B23" t="s">
        <v>59</v>
      </c>
    </row>
    <row r="24" spans="1:5" x14ac:dyDescent="0.2">
      <c r="A24" s="3" t="s">
        <v>288</v>
      </c>
      <c r="B24" t="s">
        <v>58</v>
      </c>
      <c r="E24" t="s">
        <v>51</v>
      </c>
    </row>
    <row r="25" spans="1:5" x14ac:dyDescent="0.2">
      <c r="A25" s="3" t="s">
        <v>54</v>
      </c>
      <c r="B25" t="s">
        <v>59</v>
      </c>
      <c r="E25" t="s">
        <v>55</v>
      </c>
    </row>
    <row r="26" spans="1:5" x14ac:dyDescent="0.2">
      <c r="A26" s="3" t="s">
        <v>56</v>
      </c>
      <c r="B26" t="s">
        <v>58</v>
      </c>
    </row>
    <row r="29" spans="1:5" x14ac:dyDescent="0.2">
      <c r="A29" s="1" t="s">
        <v>99</v>
      </c>
    </row>
    <row r="30" spans="1:5" x14ac:dyDescent="0.2">
      <c r="A30" t="s">
        <v>98</v>
      </c>
      <c r="B30">
        <f>IF(B12="No",1,C12)*B21</f>
        <v>1</v>
      </c>
    </row>
    <row r="31" spans="1:5" x14ac:dyDescent="0.2">
      <c r="A31" t="s">
        <v>101</v>
      </c>
    </row>
    <row r="56" spans="1:1" ht="68" x14ac:dyDescent="0.2">
      <c r="A56" s="16" t="s">
        <v>278</v>
      </c>
    </row>
  </sheetData>
  <mergeCells count="3">
    <mergeCell ref="A1:O2"/>
    <mergeCell ref="A4:O4"/>
    <mergeCell ref="B9:C9"/>
  </mergeCells>
  <conditionalFormatting sqref="C12">
    <cfRule type="expression" dxfId="8" priority="13">
      <formula>$B$12="No"</formula>
    </cfRule>
  </conditionalFormatting>
  <conditionalFormatting sqref="C13">
    <cfRule type="expression" dxfId="7" priority="14">
      <formula>$B$13="Yes"</formula>
    </cfRule>
  </conditionalFormatting>
  <conditionalFormatting sqref="C17">
    <cfRule type="expression" dxfId="6" priority="1">
      <formula>$C$17&gt;=1</formula>
    </cfRule>
    <cfRule type="expression" dxfId="5" priority="17">
      <formula>$B$17="No"</formula>
    </cfRule>
  </conditionalFormatting>
  <conditionalFormatting sqref="C14">
    <cfRule type="expression" dxfId="4" priority="11">
      <formula>$B$14="Yes"</formula>
    </cfRule>
  </conditionalFormatting>
  <conditionalFormatting sqref="C15">
    <cfRule type="expression" dxfId="3" priority="10">
      <formula>$B$15="Yes"</formula>
    </cfRule>
  </conditionalFormatting>
  <conditionalFormatting sqref="C18">
    <cfRule type="expression" dxfId="2" priority="8">
      <formula>$B$18="Yes"</formula>
    </cfRule>
  </conditionalFormatting>
  <conditionalFormatting sqref="C19">
    <cfRule type="expression" dxfId="1" priority="7">
      <formula>$B$19="Yes"</formula>
    </cfRule>
  </conditionalFormatting>
  <conditionalFormatting sqref="C20:C21">
    <cfRule type="expression" dxfId="0" priority="6">
      <formula>$B$20="Yes"</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5829BE43-2C1E-8345-8FE0-59F237DEEF2A}">
          <x14:formula1>
            <xm:f>Template_Source!$A$2:$A$25</xm:f>
          </x14:formula1>
          <xm:sqref>B10</xm:sqref>
        </x14:dataValidation>
        <x14:dataValidation type="list" allowBlank="1" showInputMessage="1" showErrorMessage="1" xr:uid="{2D5D275E-D642-3448-A87B-3EF0E21769DD}">
          <x14:formula1>
            <xm:f>Template_Source!$B$2:$B$4</xm:f>
          </x14:formula1>
          <xm:sqref>B11</xm:sqref>
        </x14:dataValidation>
        <x14:dataValidation type="list" allowBlank="1" showInputMessage="1" showErrorMessage="1" xr:uid="{2B094CA1-FEDD-A048-AFB2-F41087A39CA6}">
          <x14:formula1>
            <xm:f>Template_Source!$C$2:$C$3</xm:f>
          </x14:formula1>
          <xm:sqref>B23:B26 B12:B20</xm:sqref>
        </x14:dataValidation>
        <x14:dataValidation type="list" allowBlank="1" showInputMessage="1" showErrorMessage="1" xr:uid="{3950691B-C65C-B041-A32C-0A13051313D9}">
          <x14:formula1>
            <xm:f>Template_Source!$D$2:$D$10</xm:f>
          </x14:formula1>
          <xm:sqref>B22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F1860-DA1A-A541-910C-AF9D019BE0CE}">
  <sheetPr codeName="Sheet2"/>
  <dimension ref="A1:GZ188"/>
  <sheetViews>
    <sheetView tabSelected="1" zoomScale="130" zoomScaleNormal="130" workbookViewId="0">
      <selection activeCell="B111" sqref="B111"/>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7" max="7" width="17.6640625" customWidth="1"/>
    <col min="11" max="11" width="17.6640625" customWidth="1"/>
    <col min="12" max="12" width="15.5" customWidth="1"/>
    <col min="13" max="13" width="19.5" customWidth="1"/>
  </cols>
  <sheetData>
    <row r="1" spans="1:8" x14ac:dyDescent="0.2">
      <c r="C1" s="9" t="s">
        <v>58</v>
      </c>
    </row>
    <row r="3" spans="1:8" x14ac:dyDescent="0.2">
      <c r="A3" s="42" t="s">
        <v>0</v>
      </c>
      <c r="B3" s="33"/>
      <c r="C3" s="33"/>
      <c r="D3" s="34"/>
      <c r="E3" s="3" t="s">
        <v>394</v>
      </c>
    </row>
    <row r="4" spans="1:8" ht="16" customHeight="1" x14ac:dyDescent="0.2">
      <c r="A4" s="33" t="s">
        <v>1</v>
      </c>
      <c r="B4" s="33" t="s">
        <v>71</v>
      </c>
      <c r="C4" s="33"/>
      <c r="D4" s="34"/>
      <c r="E4" s="49" t="s">
        <v>392</v>
      </c>
      <c r="F4" s="16"/>
      <c r="G4" s="16"/>
      <c r="H4" s="16"/>
    </row>
    <row r="5" spans="1:8" x14ac:dyDescent="0.2">
      <c r="A5" s="33" t="s">
        <v>2</v>
      </c>
      <c r="B5" s="33" t="s">
        <v>334</v>
      </c>
      <c r="C5" s="33"/>
      <c r="D5" s="34"/>
      <c r="E5" s="49" t="s">
        <v>403</v>
      </c>
      <c r="F5" s="16"/>
      <c r="G5" s="16"/>
      <c r="H5" s="16"/>
    </row>
    <row r="6" spans="1:8" x14ac:dyDescent="0.2">
      <c r="A6" s="33" t="s">
        <v>3</v>
      </c>
      <c r="B6" s="40">
        <f ca="1">TODAY()</f>
        <v>44672</v>
      </c>
      <c r="C6" s="33"/>
      <c r="D6" s="34"/>
      <c r="E6" s="49" t="s">
        <v>393</v>
      </c>
      <c r="F6" s="16"/>
      <c r="G6" s="16"/>
      <c r="H6" s="16"/>
    </row>
    <row r="7" spans="1:8" x14ac:dyDescent="0.2">
      <c r="A7" s="33" t="s">
        <v>4</v>
      </c>
      <c r="B7" s="33" t="s">
        <v>401</v>
      </c>
      <c r="C7" s="33"/>
      <c r="D7" s="34"/>
      <c r="E7" s="49"/>
    </row>
    <row r="8" spans="1:8" x14ac:dyDescent="0.2">
      <c r="A8" s="35" t="s">
        <v>5</v>
      </c>
      <c r="B8" s="33"/>
      <c r="C8" s="33"/>
      <c r="D8" s="34"/>
      <c r="E8" s="49"/>
    </row>
    <row r="9" spans="1:8" x14ac:dyDescent="0.2">
      <c r="A9" s="41" t="s">
        <v>8</v>
      </c>
      <c r="B9" s="33" t="s">
        <v>59</v>
      </c>
      <c r="C9" s="33"/>
      <c r="D9" s="34"/>
      <c r="E9" s="3"/>
    </row>
    <row r="10" spans="1:8" x14ac:dyDescent="0.2">
      <c r="A10" s="33"/>
      <c r="B10" s="33" t="s">
        <v>9</v>
      </c>
      <c r="C10" s="33"/>
      <c r="D10" s="34"/>
      <c r="E10" s="3"/>
    </row>
    <row r="11" spans="1:8" x14ac:dyDescent="0.2">
      <c r="A11" s="33"/>
      <c r="B11" s="33" t="s">
        <v>11</v>
      </c>
      <c r="C11" s="33"/>
      <c r="D11" s="34"/>
    </row>
    <row r="13" spans="1:8" x14ac:dyDescent="0.2">
      <c r="A13" s="42" t="s">
        <v>102</v>
      </c>
      <c r="B13" s="33"/>
      <c r="C13" s="33"/>
      <c r="D13" s="33"/>
      <c r="E13" s="33"/>
    </row>
    <row r="14" spans="1:8" x14ac:dyDescent="0.2">
      <c r="A14" s="33" t="s">
        <v>102</v>
      </c>
      <c r="B14" s="33" t="s">
        <v>62</v>
      </c>
      <c r="C14" s="33"/>
      <c r="D14" s="33"/>
      <c r="E14" s="33"/>
    </row>
    <row r="15" spans="1:8" x14ac:dyDescent="0.2">
      <c r="A15" s="33" t="s">
        <v>235</v>
      </c>
      <c r="B15" s="33"/>
      <c r="C15" s="45" t="s">
        <v>236</v>
      </c>
      <c r="D15" s="33"/>
      <c r="E15" s="33"/>
    </row>
    <row r="16" spans="1:8" x14ac:dyDescent="0.2">
      <c r="A16" s="33" t="s">
        <v>27</v>
      </c>
      <c r="B16" s="33" t="s">
        <v>370</v>
      </c>
      <c r="C16" s="33"/>
      <c r="D16" s="33"/>
      <c r="E16" s="33"/>
    </row>
    <row r="17" spans="1:7" x14ac:dyDescent="0.2">
      <c r="A17" s="33" t="s">
        <v>292</v>
      </c>
      <c r="B17" s="33" t="s">
        <v>370</v>
      </c>
      <c r="C17" s="33"/>
      <c r="D17" s="33"/>
      <c r="E17" s="33"/>
    </row>
    <row r="18" spans="1:7" x14ac:dyDescent="0.2">
      <c r="A18" s="33"/>
      <c r="B18" s="33"/>
      <c r="C18" s="33"/>
      <c r="D18" s="33"/>
      <c r="E18" s="33"/>
    </row>
    <row r="19" spans="1:7" x14ac:dyDescent="0.2">
      <c r="A19" s="33"/>
      <c r="B19" s="33"/>
      <c r="C19" s="33"/>
      <c r="D19" s="33"/>
      <c r="E19" s="33"/>
    </row>
    <row r="20" spans="1:7" x14ac:dyDescent="0.2">
      <c r="A20" s="33"/>
      <c r="B20" s="33"/>
      <c r="C20" s="33"/>
      <c r="D20" s="33"/>
      <c r="E20" s="33"/>
    </row>
    <row r="21" spans="1:7" x14ac:dyDescent="0.2">
      <c r="A21" s="42" t="s">
        <v>237</v>
      </c>
      <c r="B21" s="33"/>
      <c r="C21" s="33"/>
      <c r="D21" s="33"/>
      <c r="E21" s="33"/>
    </row>
    <row r="22" spans="1:7" s="2" customFormat="1" x14ac:dyDescent="0.2">
      <c r="A22" s="46" t="s">
        <v>375</v>
      </c>
      <c r="B22" s="35" t="s">
        <v>59</v>
      </c>
      <c r="C22" s="35"/>
      <c r="D22" s="35"/>
      <c r="E22" s="35"/>
    </row>
    <row r="23" spans="1:7" s="2" customFormat="1" x14ac:dyDescent="0.2">
      <c r="A23" s="46"/>
      <c r="B23" s="35"/>
      <c r="C23" s="35"/>
      <c r="D23" s="35"/>
      <c r="E23" s="35"/>
    </row>
    <row r="24" spans="1:7" x14ac:dyDescent="0.2">
      <c r="A24" s="48" t="s">
        <v>289</v>
      </c>
      <c r="B24" s="33" t="s">
        <v>58</v>
      </c>
      <c r="C24" s="33"/>
      <c r="D24" s="33"/>
      <c r="E24" s="45"/>
    </row>
    <row r="25" spans="1:7" x14ac:dyDescent="0.2">
      <c r="A25" s="47"/>
      <c r="B25" s="41" t="s">
        <v>314</v>
      </c>
      <c r="C25" s="33" t="s">
        <v>58</v>
      </c>
      <c r="D25" s="33"/>
      <c r="E25" s="45"/>
    </row>
    <row r="26" spans="1:7" s="9" customFormat="1" x14ac:dyDescent="0.2">
      <c r="A26" s="39"/>
      <c r="B26" s="33" t="s">
        <v>232</v>
      </c>
      <c r="C26" s="33">
        <v>2</v>
      </c>
      <c r="D26" s="33"/>
      <c r="E26" s="33"/>
    </row>
    <row r="27" spans="1:7" x14ac:dyDescent="0.2">
      <c r="A27" s="33"/>
      <c r="B27" s="33" t="s">
        <v>238</v>
      </c>
      <c r="C27" s="33">
        <v>4</v>
      </c>
      <c r="D27" s="33"/>
      <c r="E27" s="45"/>
    </row>
    <row r="28" spans="1:7" s="9" customFormat="1" x14ac:dyDescent="0.2">
      <c r="A28" s="33"/>
      <c r="B28" s="33" t="s">
        <v>239</v>
      </c>
      <c r="C28" s="43" t="s">
        <v>246</v>
      </c>
      <c r="D28" s="43" t="s">
        <v>247</v>
      </c>
      <c r="E28" s="36"/>
      <c r="G28" s="30"/>
    </row>
    <row r="29" spans="1:7" x14ac:dyDescent="0.2">
      <c r="A29" s="33"/>
      <c r="B29" s="33" t="s">
        <v>270</v>
      </c>
      <c r="C29" s="33"/>
      <c r="D29" s="33"/>
      <c r="E29" s="45"/>
    </row>
    <row r="30" spans="1:7" x14ac:dyDescent="0.2">
      <c r="A30" s="33"/>
      <c r="B30" s="33" t="s">
        <v>293</v>
      </c>
      <c r="C30" s="33"/>
      <c r="D30" s="33"/>
      <c r="E30" s="45"/>
    </row>
    <row r="31" spans="1:7" x14ac:dyDescent="0.2">
      <c r="A31" s="33"/>
      <c r="B31" s="35" t="s">
        <v>5</v>
      </c>
      <c r="C31" s="33"/>
      <c r="D31" s="33"/>
      <c r="E31" s="45"/>
    </row>
    <row r="32" spans="1:7" x14ac:dyDescent="0.2">
      <c r="A32" s="33"/>
      <c r="B32" s="33"/>
      <c r="C32" s="33"/>
      <c r="D32" s="33"/>
      <c r="E32" s="45"/>
    </row>
    <row r="33" spans="1:5" x14ac:dyDescent="0.2">
      <c r="A33" s="48" t="s">
        <v>233</v>
      </c>
      <c r="B33" s="33" t="s">
        <v>58</v>
      </c>
      <c r="C33" s="33"/>
      <c r="D33" s="33"/>
      <c r="E33" s="45"/>
    </row>
    <row r="34" spans="1:5" x14ac:dyDescent="0.2">
      <c r="A34" s="33"/>
      <c r="B34" s="41" t="s">
        <v>314</v>
      </c>
      <c r="C34" s="33" t="s">
        <v>59</v>
      </c>
      <c r="D34" s="33"/>
      <c r="E34" s="45"/>
    </row>
    <row r="35" spans="1:5" s="9" customFormat="1" x14ac:dyDescent="0.2">
      <c r="A35" s="39"/>
      <c r="B35" s="33" t="s">
        <v>232</v>
      </c>
      <c r="C35" s="33">
        <v>2</v>
      </c>
      <c r="D35" s="33"/>
      <c r="E35" s="33"/>
    </row>
    <row r="36" spans="1:5" x14ac:dyDescent="0.2">
      <c r="A36" s="33"/>
      <c r="B36" s="33" t="s">
        <v>238</v>
      </c>
      <c r="C36" s="33">
        <v>1</v>
      </c>
      <c r="D36" s="33"/>
      <c r="E36" s="45"/>
    </row>
    <row r="37" spans="1:5" s="9" customFormat="1" x14ac:dyDescent="0.2">
      <c r="A37" s="33"/>
      <c r="B37" s="33" t="s">
        <v>239</v>
      </c>
      <c r="C37" s="43" t="s">
        <v>313</v>
      </c>
      <c r="D37" s="43" t="s">
        <v>381</v>
      </c>
      <c r="E37" s="33"/>
    </row>
    <row r="38" spans="1:5" x14ac:dyDescent="0.2">
      <c r="A38" s="33"/>
      <c r="B38" s="36" t="s">
        <v>319</v>
      </c>
      <c r="C38" s="33"/>
      <c r="D38" s="33"/>
      <c r="E38" s="33"/>
    </row>
    <row r="39" spans="1:5" x14ac:dyDescent="0.2">
      <c r="A39" s="33"/>
      <c r="B39" s="36" t="s">
        <v>320</v>
      </c>
      <c r="C39" s="33"/>
      <c r="D39" s="33"/>
      <c r="E39" s="33"/>
    </row>
    <row r="40" spans="1:5" x14ac:dyDescent="0.2">
      <c r="A40" s="33"/>
      <c r="B40" s="36" t="s">
        <v>318</v>
      </c>
      <c r="C40" s="33"/>
      <c r="D40" s="33"/>
      <c r="E40" s="33"/>
    </row>
    <row r="41" spans="1:5" x14ac:dyDescent="0.2">
      <c r="A41" s="33"/>
      <c r="B41" s="36" t="s">
        <v>377</v>
      </c>
      <c r="C41" s="33"/>
      <c r="D41" s="33"/>
      <c r="E41" s="33"/>
    </row>
    <row r="42" spans="1:5" x14ac:dyDescent="0.2">
      <c r="A42" s="33"/>
      <c r="B42" s="35" t="s">
        <v>5</v>
      </c>
      <c r="C42" s="33"/>
      <c r="D42" s="33"/>
      <c r="E42" s="33"/>
    </row>
    <row r="43" spans="1:5" x14ac:dyDescent="0.2">
      <c r="A43" s="33"/>
      <c r="B43" s="33"/>
      <c r="C43" s="33"/>
      <c r="D43" s="33"/>
      <c r="E43" s="33"/>
    </row>
    <row r="44" spans="1:5" x14ac:dyDescent="0.2">
      <c r="A44" s="48" t="s">
        <v>25</v>
      </c>
      <c r="B44" s="33" t="s">
        <v>59</v>
      </c>
      <c r="C44" s="33"/>
      <c r="D44" s="33"/>
      <c r="E44" s="33"/>
    </row>
    <row r="45" spans="1:5" s="9" customFormat="1" x14ac:dyDescent="0.2">
      <c r="A45" s="39"/>
      <c r="B45" s="33" t="s">
        <v>232</v>
      </c>
      <c r="C45" s="33">
        <v>2</v>
      </c>
      <c r="D45" s="33"/>
      <c r="E45" s="33"/>
    </row>
    <row r="46" spans="1:5" x14ac:dyDescent="0.2">
      <c r="A46" s="33"/>
      <c r="B46" s="33" t="s">
        <v>238</v>
      </c>
      <c r="C46" s="33">
        <v>2</v>
      </c>
      <c r="D46" s="33"/>
      <c r="E46" s="33"/>
    </row>
    <row r="47" spans="1:5" s="9" customFormat="1" x14ac:dyDescent="0.2">
      <c r="A47" s="33"/>
      <c r="B47" s="33" t="s">
        <v>239</v>
      </c>
      <c r="C47" s="43" t="s">
        <v>248</v>
      </c>
      <c r="D47" s="43" t="s">
        <v>249</v>
      </c>
      <c r="E47" s="33"/>
    </row>
    <row r="48" spans="1:5" x14ac:dyDescent="0.2">
      <c r="A48" s="33"/>
      <c r="B48" s="35" t="s">
        <v>5</v>
      </c>
      <c r="C48" s="33"/>
      <c r="D48" s="33"/>
      <c r="E48" s="33"/>
    </row>
    <row r="49" spans="1:5" ht="17" customHeight="1" x14ac:dyDescent="0.2">
      <c r="A49" s="33"/>
      <c r="B49" s="33"/>
      <c r="C49" s="33"/>
      <c r="D49" s="33"/>
      <c r="E49" s="33"/>
    </row>
    <row r="50" spans="1:5" x14ac:dyDescent="0.2">
      <c r="A50" s="48" t="s">
        <v>26</v>
      </c>
      <c r="B50" s="33" t="s">
        <v>59</v>
      </c>
      <c r="C50" s="33"/>
      <c r="D50" s="33"/>
      <c r="E50" s="33"/>
    </row>
    <row r="51" spans="1:5" s="9" customFormat="1" x14ac:dyDescent="0.2">
      <c r="A51" s="39"/>
      <c r="B51" s="33" t="s">
        <v>232</v>
      </c>
      <c r="C51" s="33">
        <v>2</v>
      </c>
      <c r="D51" s="33"/>
      <c r="E51" s="33"/>
    </row>
    <row r="52" spans="1:5" x14ac:dyDescent="0.2">
      <c r="A52" s="33"/>
      <c r="B52" s="33" t="s">
        <v>238</v>
      </c>
      <c r="C52" s="33">
        <v>2</v>
      </c>
      <c r="D52" s="33"/>
      <c r="E52" s="33"/>
    </row>
    <row r="53" spans="1:5" s="9" customFormat="1" x14ac:dyDescent="0.2">
      <c r="A53" s="33"/>
      <c r="B53" s="33" t="s">
        <v>239</v>
      </c>
      <c r="C53" s="43" t="s">
        <v>362</v>
      </c>
      <c r="D53" s="43" t="s">
        <v>363</v>
      </c>
      <c r="E53" s="33"/>
    </row>
    <row r="54" spans="1:5" ht="18" customHeight="1" x14ac:dyDescent="0.2">
      <c r="A54" s="33"/>
      <c r="B54" s="35" t="s">
        <v>5</v>
      </c>
      <c r="C54" s="33"/>
      <c r="D54" s="33"/>
      <c r="E54" s="33"/>
    </row>
    <row r="55" spans="1:5" x14ac:dyDescent="0.2">
      <c r="A55" s="33"/>
      <c r="B55" s="36"/>
      <c r="C55" s="33"/>
      <c r="D55" s="33"/>
      <c r="E55" s="33"/>
    </row>
    <row r="56" spans="1:5" x14ac:dyDescent="0.2">
      <c r="A56" s="48" t="s">
        <v>374</v>
      </c>
      <c r="B56" s="36" t="s">
        <v>59</v>
      </c>
      <c r="C56" s="33"/>
      <c r="D56" s="33"/>
      <c r="E56" s="33"/>
    </row>
    <row r="57" spans="1:5" hidden="1" x14ac:dyDescent="0.2">
      <c r="A57" s="47"/>
      <c r="B57" s="41" t="s">
        <v>314</v>
      </c>
      <c r="C57" s="33" t="s">
        <v>58</v>
      </c>
      <c r="D57" s="33"/>
      <c r="E57" s="33"/>
    </row>
    <row r="58" spans="1:5" hidden="1" x14ac:dyDescent="0.2">
      <c r="A58" s="39"/>
      <c r="B58" s="36" t="s">
        <v>232</v>
      </c>
      <c r="C58" s="33">
        <v>2</v>
      </c>
      <c r="D58" s="33"/>
      <c r="E58" s="33"/>
    </row>
    <row r="59" spans="1:5" s="9" customFormat="1" hidden="1" x14ac:dyDescent="0.2">
      <c r="A59" s="39"/>
      <c r="B59" s="36" t="s">
        <v>238</v>
      </c>
      <c r="C59" s="33"/>
      <c r="D59" s="33"/>
      <c r="E59" s="33"/>
    </row>
    <row r="60" spans="1:5" s="9" customFormat="1" hidden="1" x14ac:dyDescent="0.2">
      <c r="A60" s="39"/>
      <c r="B60" s="36" t="s">
        <v>239</v>
      </c>
      <c r="C60" s="43"/>
      <c r="D60" s="43"/>
      <c r="E60" s="33"/>
    </row>
    <row r="61" spans="1:5" s="9" customFormat="1" hidden="1" x14ac:dyDescent="0.2">
      <c r="A61" s="39"/>
      <c r="B61" s="44" t="s">
        <v>5</v>
      </c>
      <c r="C61" s="33"/>
      <c r="D61" s="33"/>
      <c r="E61" s="33"/>
    </row>
    <row r="62" spans="1:5" s="9" customFormat="1" x14ac:dyDescent="0.2">
      <c r="A62" s="39"/>
      <c r="B62" s="44"/>
      <c r="C62" s="33"/>
      <c r="D62" s="33"/>
      <c r="E62" s="33"/>
    </row>
    <row r="63" spans="1:5" s="9" customFormat="1" x14ac:dyDescent="0.2">
      <c r="A63" s="39"/>
      <c r="B63" s="44"/>
      <c r="C63" s="33"/>
      <c r="D63" s="33"/>
      <c r="E63" s="33"/>
    </row>
    <row r="64" spans="1:5" x14ac:dyDescent="0.2">
      <c r="A64" s="1" t="s">
        <v>400</v>
      </c>
    </row>
    <row r="65" spans="1:8" x14ac:dyDescent="0.2">
      <c r="A65" s="3" t="s">
        <v>376</v>
      </c>
      <c r="B65" t="s">
        <v>382</v>
      </c>
      <c r="C65" t="s">
        <v>384</v>
      </c>
      <c r="D65" t="s">
        <v>383</v>
      </c>
      <c r="E65" t="s">
        <v>385</v>
      </c>
      <c r="F65" t="s">
        <v>387</v>
      </c>
      <c r="G65" t="s">
        <v>388</v>
      </c>
    </row>
    <row r="66" spans="1:8" x14ac:dyDescent="0.2">
      <c r="A66" s="33" t="s">
        <v>238</v>
      </c>
      <c r="B66">
        <v>2</v>
      </c>
      <c r="C66">
        <v>2</v>
      </c>
      <c r="D66">
        <v>2</v>
      </c>
      <c r="E66">
        <v>2</v>
      </c>
      <c r="F66">
        <v>2</v>
      </c>
      <c r="G66">
        <v>2</v>
      </c>
    </row>
    <row r="67" spans="1:8" s="9" customFormat="1" x14ac:dyDescent="0.2"/>
    <row r="68" spans="1:8" x14ac:dyDescent="0.2">
      <c r="A68" s="1" t="s">
        <v>259</v>
      </c>
    </row>
    <row r="69" spans="1:8" x14ac:dyDescent="0.2">
      <c r="A69" s="3" t="s">
        <v>291</v>
      </c>
      <c r="B69" s="2" t="s">
        <v>317</v>
      </c>
      <c r="C69" s="3" t="s">
        <v>26</v>
      </c>
      <c r="D69" s="3" t="s">
        <v>346</v>
      </c>
      <c r="E69" s="3" t="s">
        <v>399</v>
      </c>
    </row>
    <row r="70" spans="1:8" x14ac:dyDescent="0.2">
      <c r="A70" s="3" t="s">
        <v>290</v>
      </c>
      <c r="B70" s="3" t="s">
        <v>389</v>
      </c>
    </row>
    <row r="71" spans="1:8" ht="17" customHeight="1" x14ac:dyDescent="0.2">
      <c r="A71" s="3" t="s">
        <v>345</v>
      </c>
      <c r="B71">
        <v>30</v>
      </c>
    </row>
    <row r="72" spans="1:8" ht="17" customHeight="1" x14ac:dyDescent="0.2">
      <c r="A72" s="3"/>
    </row>
    <row r="74" spans="1:8" x14ac:dyDescent="0.2">
      <c r="A74" s="1" t="s">
        <v>390</v>
      </c>
    </row>
    <row r="75" spans="1:8" x14ac:dyDescent="0.2">
      <c r="A75" s="23" t="s">
        <v>240</v>
      </c>
      <c r="B75" s="9" t="s">
        <v>58</v>
      </c>
    </row>
    <row r="76" spans="1:8" x14ac:dyDescent="0.2">
      <c r="A76" s="3"/>
      <c r="B76" s="23" t="s">
        <v>269</v>
      </c>
      <c r="C76" s="9" t="s">
        <v>58</v>
      </c>
      <c r="D76" s="7"/>
    </row>
    <row r="77" spans="1:8" s="9" customFormat="1" x14ac:dyDescent="0.2">
      <c r="A77" s="26"/>
      <c r="B77" s="9" t="s">
        <v>339</v>
      </c>
      <c r="C77" s="9">
        <v>1</v>
      </c>
      <c r="D77" s="30"/>
    </row>
    <row r="78" spans="1:8" s="9" customFormat="1" x14ac:dyDescent="0.2">
      <c r="A78" s="31"/>
      <c r="B78" s="9" t="s">
        <v>340</v>
      </c>
      <c r="C78" s="37" t="s">
        <v>250</v>
      </c>
      <c r="H78" s="30"/>
    </row>
    <row r="79" spans="1:8" x14ac:dyDescent="0.2">
      <c r="A79" s="1"/>
      <c r="B79" t="s">
        <v>5</v>
      </c>
      <c r="H79" s="7"/>
    </row>
    <row r="80" spans="1:8" x14ac:dyDescent="0.2">
      <c r="H80" s="7"/>
    </row>
    <row r="81" spans="1:8" x14ac:dyDescent="0.2">
      <c r="A81" s="1"/>
      <c r="B81" s="23" t="s">
        <v>268</v>
      </c>
      <c r="C81" s="9" t="s">
        <v>58</v>
      </c>
      <c r="H81" s="2"/>
    </row>
    <row r="82" spans="1:8" x14ac:dyDescent="0.2">
      <c r="A82" s="1"/>
      <c r="B82" t="s">
        <v>324</v>
      </c>
      <c r="C82" s="9" t="s">
        <v>289</v>
      </c>
    </row>
    <row r="83" spans="1:8" s="9" customFormat="1" x14ac:dyDescent="0.2">
      <c r="A83" s="31"/>
      <c r="B83" s="9" t="s">
        <v>339</v>
      </c>
      <c r="C83" s="9">
        <v>2</v>
      </c>
    </row>
    <row r="84" spans="1:8" s="9" customFormat="1" x14ac:dyDescent="0.2">
      <c r="A84" s="31"/>
      <c r="B84" s="9" t="s">
        <v>239</v>
      </c>
      <c r="C84" s="37" t="s">
        <v>325</v>
      </c>
      <c r="D84" s="37" t="s">
        <v>326</v>
      </c>
      <c r="F84" s="9" t="s">
        <v>391</v>
      </c>
    </row>
    <row r="85" spans="1:8" x14ac:dyDescent="0.2">
      <c r="A85" s="1"/>
      <c r="B85" t="s">
        <v>327</v>
      </c>
      <c r="C85" s="15">
        <f ca="1">TODAY()-10</f>
        <v>44662</v>
      </c>
      <c r="D85" s="15">
        <f ca="1">TODAY()-5</f>
        <v>44667</v>
      </c>
      <c r="E85" s="15"/>
      <c r="F85" t="s">
        <v>333</v>
      </c>
    </row>
    <row r="86" spans="1:8" x14ac:dyDescent="0.2">
      <c r="A86" s="1"/>
      <c r="B86" t="s">
        <v>329</v>
      </c>
      <c r="C86" s="15">
        <f ca="1">TODAY()-5</f>
        <v>44667</v>
      </c>
      <c r="D86" s="15">
        <f ca="1">TODAY()</f>
        <v>44672</v>
      </c>
      <c r="E86" s="15"/>
    </row>
    <row r="87" spans="1:8" x14ac:dyDescent="0.2">
      <c r="A87" s="1"/>
      <c r="B87" t="s">
        <v>330</v>
      </c>
      <c r="C87" t="s">
        <v>246</v>
      </c>
      <c r="D87" t="s">
        <v>246</v>
      </c>
      <c r="F87" t="s">
        <v>341</v>
      </c>
    </row>
    <row r="88" spans="1:8" x14ac:dyDescent="0.2">
      <c r="A88" s="1"/>
      <c r="B88" t="s">
        <v>5</v>
      </c>
    </row>
    <row r="89" spans="1:8" x14ac:dyDescent="0.2">
      <c r="A89" s="1"/>
      <c r="B89" t="s">
        <v>331</v>
      </c>
      <c r="C89" s="15">
        <f ca="1">C86</f>
        <v>44667</v>
      </c>
      <c r="D89" s="15">
        <f ca="1">D86</f>
        <v>44672</v>
      </c>
    </row>
    <row r="90" spans="1:8" x14ac:dyDescent="0.2">
      <c r="A90" s="1"/>
      <c r="B90" t="s">
        <v>328</v>
      </c>
      <c r="C90" s="15">
        <f ca="1">C89+5</f>
        <v>44672</v>
      </c>
      <c r="D90" s="15">
        <f ca="1">D89+5</f>
        <v>44677</v>
      </c>
    </row>
    <row r="91" spans="1:8" x14ac:dyDescent="0.2">
      <c r="A91" s="1"/>
      <c r="B91" t="s">
        <v>332</v>
      </c>
      <c r="C91" t="s">
        <v>246</v>
      </c>
      <c r="D91" t="s">
        <v>247</v>
      </c>
    </row>
    <row r="92" spans="1:8" x14ac:dyDescent="0.2">
      <c r="A92" s="1"/>
      <c r="B92" t="s">
        <v>5</v>
      </c>
    </row>
    <row r="93" spans="1:8" x14ac:dyDescent="0.2">
      <c r="A93" s="1"/>
    </row>
    <row r="94" spans="1:8" x14ac:dyDescent="0.2">
      <c r="A94" s="1" t="s">
        <v>279</v>
      </c>
    </row>
    <row r="95" spans="1:8" x14ac:dyDescent="0.2">
      <c r="A95" s="3" t="s">
        <v>342</v>
      </c>
      <c r="B95" t="s">
        <v>364</v>
      </c>
      <c r="D95" s="7" t="s">
        <v>281</v>
      </c>
    </row>
    <row r="96" spans="1:8" x14ac:dyDescent="0.2">
      <c r="A96" s="23" t="s">
        <v>280</v>
      </c>
      <c r="B96" s="9" t="s">
        <v>59</v>
      </c>
      <c r="D96" s="7"/>
    </row>
    <row r="97" spans="1:4" x14ac:dyDescent="0.2">
      <c r="A97" s="3"/>
      <c r="D97" s="7"/>
    </row>
    <row r="98" spans="1:4" x14ac:dyDescent="0.2">
      <c r="A98" s="23" t="s">
        <v>282</v>
      </c>
      <c r="B98" s="26" t="s">
        <v>58</v>
      </c>
      <c r="D98" s="7" t="s">
        <v>284</v>
      </c>
    </row>
    <row r="99" spans="1:4" s="9" customFormat="1" x14ac:dyDescent="0.2">
      <c r="A99" s="9" t="s">
        <v>339</v>
      </c>
      <c r="B99" s="9">
        <v>2</v>
      </c>
    </row>
    <row r="100" spans="1:4" s="9" customFormat="1" x14ac:dyDescent="0.2">
      <c r="A100" s="26" t="s">
        <v>239</v>
      </c>
      <c r="B100" s="37" t="s">
        <v>285</v>
      </c>
      <c r="C100" s="37" t="s">
        <v>286</v>
      </c>
    </row>
    <row r="101" spans="1:4" s="9" customFormat="1" x14ac:dyDescent="0.2">
      <c r="A101" s="3" t="s">
        <v>417</v>
      </c>
      <c r="B101">
        <v>1</v>
      </c>
      <c r="C101">
        <v>1</v>
      </c>
    </row>
    <row r="102" spans="1:4" x14ac:dyDescent="0.2">
      <c r="A102" s="3" t="s">
        <v>294</v>
      </c>
      <c r="B102" t="s">
        <v>295</v>
      </c>
      <c r="C102" t="s">
        <v>404</v>
      </c>
    </row>
    <row r="103" spans="1:4" x14ac:dyDescent="0.2">
      <c r="A103" s="3"/>
      <c r="B103" s="1"/>
    </row>
    <row r="104" spans="1:4" x14ac:dyDescent="0.2">
      <c r="A104" s="23" t="s">
        <v>283</v>
      </c>
      <c r="B104" s="9" t="s">
        <v>58</v>
      </c>
    </row>
    <row r="105" spans="1:4" s="9" customFormat="1" x14ac:dyDescent="0.2">
      <c r="A105" s="9" t="s">
        <v>339</v>
      </c>
      <c r="B105" s="26">
        <v>1</v>
      </c>
    </row>
    <row r="106" spans="1:4" s="9" customFormat="1" x14ac:dyDescent="0.2">
      <c r="A106" s="26" t="s">
        <v>239</v>
      </c>
      <c r="B106" s="38" t="s">
        <v>373</v>
      </c>
    </row>
    <row r="107" spans="1:4" s="9" customFormat="1" x14ac:dyDescent="0.2">
      <c r="A107" s="3" t="s">
        <v>417</v>
      </c>
      <c r="B107" s="26">
        <v>1</v>
      </c>
    </row>
    <row r="108" spans="1:4" x14ac:dyDescent="0.2">
      <c r="A108" s="3" t="s">
        <v>294</v>
      </c>
      <c r="B108" s="3" t="s">
        <v>367</v>
      </c>
    </row>
    <row r="109" spans="1:4" x14ac:dyDescent="0.2">
      <c r="A109" s="3"/>
    </row>
    <row r="110" spans="1:4" x14ac:dyDescent="0.2">
      <c r="A110" s="1" t="s">
        <v>287</v>
      </c>
    </row>
    <row r="111" spans="1:4" x14ac:dyDescent="0.2">
      <c r="A111" s="3" t="s">
        <v>299</v>
      </c>
      <c r="B111" s="9" t="s">
        <v>91</v>
      </c>
    </row>
    <row r="112" spans="1:4" x14ac:dyDescent="0.2">
      <c r="A112" s="3" t="s">
        <v>300</v>
      </c>
      <c r="B112" s="9" t="s">
        <v>300</v>
      </c>
    </row>
    <row r="113" spans="1:208" ht="17" x14ac:dyDescent="0.2">
      <c r="A113" s="18"/>
      <c r="B113" s="18" t="s">
        <v>304</v>
      </c>
      <c r="D113" s="7" t="s">
        <v>301</v>
      </c>
    </row>
    <row r="114" spans="1:208" x14ac:dyDescent="0.2">
      <c r="A114" s="3"/>
      <c r="B114" s="19" t="s">
        <v>207</v>
      </c>
      <c r="C114" t="s">
        <v>369</v>
      </c>
    </row>
    <row r="115" spans="1:208" x14ac:dyDescent="0.2">
      <c r="A115" s="17"/>
      <c r="B115" s="19" t="s">
        <v>208</v>
      </c>
      <c r="C115" t="s">
        <v>370</v>
      </c>
    </row>
    <row r="116" spans="1:208" x14ac:dyDescent="0.2">
      <c r="A116" s="3"/>
      <c r="B116" s="19" t="s">
        <v>209</v>
      </c>
      <c r="C116" t="s">
        <v>370</v>
      </c>
    </row>
    <row r="117" spans="1:208" x14ac:dyDescent="0.2">
      <c r="A117" s="3"/>
      <c r="B117" s="19" t="s">
        <v>210</v>
      </c>
      <c r="C117" t="s">
        <v>371</v>
      </c>
    </row>
    <row r="118" spans="1:208" x14ac:dyDescent="0.2">
      <c r="A118" s="3"/>
      <c r="B118" s="19" t="s">
        <v>211</v>
      </c>
      <c r="C118" t="s">
        <v>371</v>
      </c>
    </row>
    <row r="119" spans="1:208" x14ac:dyDescent="0.2">
      <c r="A119" s="3"/>
    </row>
    <row r="120" spans="1:208" x14ac:dyDescent="0.2">
      <c r="A120" s="1"/>
    </row>
    <row r="121" spans="1:208" x14ac:dyDescent="0.2">
      <c r="A121" s="1"/>
    </row>
    <row r="122" spans="1:208" x14ac:dyDescent="0.2">
      <c r="A122" s="1" t="s">
        <v>244</v>
      </c>
      <c r="B122" t="s">
        <v>263</v>
      </c>
      <c r="C122">
        <f>SUM(66:66)</f>
        <v>12</v>
      </c>
      <c r="E122" s="10" t="s">
        <v>265</v>
      </c>
      <c r="F122" s="11" t="s">
        <v>266</v>
      </c>
      <c r="G122" s="12" t="s">
        <v>267</v>
      </c>
    </row>
    <row r="123" spans="1:208" x14ac:dyDescent="0.2">
      <c r="A123" s="1"/>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row>
    <row r="124" spans="1:208" x14ac:dyDescent="0.2">
      <c r="A124" s="8" t="s">
        <v>261</v>
      </c>
      <c r="B124" s="37"/>
      <c r="C124" s="37"/>
      <c r="D124" s="37"/>
      <c r="E124" s="37"/>
      <c r="F124" s="37"/>
      <c r="G124" s="37"/>
      <c r="H124" s="37"/>
      <c r="I124" s="37"/>
      <c r="J124" s="37"/>
      <c r="K124" s="37"/>
      <c r="L124" s="37"/>
      <c r="M124" s="37"/>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row>
    <row r="125" spans="1:208" x14ac:dyDescent="0.2">
      <c r="A125" s="8" t="s">
        <v>262</v>
      </c>
      <c r="B125" s="9" t="s">
        <v>405</v>
      </c>
      <c r="C125" s="9" t="s">
        <v>406</v>
      </c>
      <c r="D125" s="9" t="s">
        <v>407</v>
      </c>
      <c r="E125" s="9" t="s">
        <v>408</v>
      </c>
      <c r="F125" s="9" t="s">
        <v>409</v>
      </c>
      <c r="G125" s="9" t="s">
        <v>410</v>
      </c>
      <c r="H125" s="9" t="s">
        <v>411</v>
      </c>
      <c r="I125" s="9" t="s">
        <v>412</v>
      </c>
      <c r="J125" s="9" t="s">
        <v>413</v>
      </c>
      <c r="K125" s="9" t="s">
        <v>414</v>
      </c>
      <c r="L125" s="9" t="s">
        <v>415</v>
      </c>
      <c r="M125" s="9" t="s">
        <v>416</v>
      </c>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row>
    <row r="126" spans="1:208" x14ac:dyDescent="0.2">
      <c r="A126" s="8" t="s">
        <v>264</v>
      </c>
      <c r="B126" s="9">
        <v>1</v>
      </c>
      <c r="C126" s="9">
        <v>2</v>
      </c>
      <c r="D126" s="9">
        <v>3</v>
      </c>
      <c r="E126" s="9">
        <v>4</v>
      </c>
      <c r="F126" s="9">
        <v>5</v>
      </c>
      <c r="G126" s="9">
        <v>6</v>
      </c>
      <c r="H126" s="9">
        <v>7</v>
      </c>
      <c r="I126" s="9">
        <v>8</v>
      </c>
      <c r="J126" s="9">
        <v>9</v>
      </c>
      <c r="K126" s="9">
        <v>10</v>
      </c>
      <c r="L126" s="9">
        <v>11</v>
      </c>
      <c r="M126" s="9">
        <v>12</v>
      </c>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row>
    <row r="127" spans="1:208" x14ac:dyDescent="0.2">
      <c r="A127" s="8" t="s">
        <v>378</v>
      </c>
      <c r="B127" s="9" t="s">
        <v>382</v>
      </c>
      <c r="C127" s="9" t="s">
        <v>382</v>
      </c>
      <c r="D127" s="9" t="s">
        <v>384</v>
      </c>
      <c r="E127" s="9" t="s">
        <v>384</v>
      </c>
      <c r="F127" s="9" t="s">
        <v>383</v>
      </c>
      <c r="G127" s="9" t="s">
        <v>383</v>
      </c>
      <c r="H127" s="9" t="s">
        <v>385</v>
      </c>
      <c r="I127" s="9" t="s">
        <v>385</v>
      </c>
      <c r="J127" s="9" t="s">
        <v>387</v>
      </c>
      <c r="K127" s="9" t="s">
        <v>387</v>
      </c>
      <c r="L127" s="9" t="s">
        <v>388</v>
      </c>
      <c r="M127" s="9" t="s">
        <v>388</v>
      </c>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row>
    <row r="128" spans="1:208" x14ac:dyDescent="0.2">
      <c r="A128" s="8" t="s">
        <v>379</v>
      </c>
      <c r="B128" s="9">
        <v>1</v>
      </c>
      <c r="C128" s="9">
        <v>2</v>
      </c>
      <c r="D128" s="9">
        <v>1</v>
      </c>
      <c r="E128" s="9">
        <v>2</v>
      </c>
      <c r="F128" s="9">
        <v>1</v>
      </c>
      <c r="G128" s="9">
        <v>2</v>
      </c>
      <c r="H128" s="9">
        <v>1</v>
      </c>
      <c r="I128" s="9">
        <v>2</v>
      </c>
      <c r="J128" s="9">
        <v>1</v>
      </c>
      <c r="K128" s="9">
        <v>2</v>
      </c>
      <c r="L128" s="9">
        <v>1</v>
      </c>
      <c r="M128" s="9">
        <v>2</v>
      </c>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row>
    <row r="129" spans="1:208" x14ac:dyDescent="0.2">
      <c r="A129" s="32" t="s">
        <v>297</v>
      </c>
      <c r="B129" s="9" t="s">
        <v>246</v>
      </c>
      <c r="C129" s="9" t="s">
        <v>246</v>
      </c>
      <c r="D129" s="9" t="s">
        <v>246</v>
      </c>
      <c r="E129" s="9" t="s">
        <v>246</v>
      </c>
      <c r="F129" s="9" t="s">
        <v>247</v>
      </c>
      <c r="G129" s="9" t="s">
        <v>247</v>
      </c>
      <c r="H129" s="9" t="s">
        <v>247</v>
      </c>
      <c r="I129" s="9" t="s">
        <v>247</v>
      </c>
      <c r="J129" s="9" t="s">
        <v>386</v>
      </c>
      <c r="K129" s="9" t="s">
        <v>386</v>
      </c>
      <c r="L129" s="9" t="s">
        <v>386</v>
      </c>
      <c r="M129" s="9" t="s">
        <v>386</v>
      </c>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row>
    <row r="130" spans="1:208" x14ac:dyDescent="0.2">
      <c r="A130" s="8" t="s">
        <v>251</v>
      </c>
      <c r="B130" s="9" t="s">
        <v>313</v>
      </c>
      <c r="C130" s="9" t="s">
        <v>313</v>
      </c>
      <c r="D130" s="9" t="s">
        <v>381</v>
      </c>
      <c r="E130" s="9" t="s">
        <v>381</v>
      </c>
      <c r="F130" s="9" t="s">
        <v>313</v>
      </c>
      <c r="G130" s="9" t="s">
        <v>313</v>
      </c>
      <c r="H130" s="9" t="s">
        <v>381</v>
      </c>
      <c r="I130" s="9" t="s">
        <v>381</v>
      </c>
      <c r="J130" s="9" t="s">
        <v>313</v>
      </c>
      <c r="K130" s="9" t="s">
        <v>313</v>
      </c>
      <c r="L130" s="9" t="s">
        <v>381</v>
      </c>
      <c r="M130" s="9" t="s">
        <v>381</v>
      </c>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row>
    <row r="131" spans="1:208" x14ac:dyDescent="0.2">
      <c r="A131" s="8" t="s">
        <v>253</v>
      </c>
      <c r="B131" s="9" t="s">
        <v>357</v>
      </c>
      <c r="C131" s="9" t="s">
        <v>357</v>
      </c>
      <c r="D131" s="9" t="s">
        <v>357</v>
      </c>
      <c r="E131" s="9" t="s">
        <v>357</v>
      </c>
      <c r="F131" s="9" t="s">
        <v>357</v>
      </c>
      <c r="G131" s="9" t="s">
        <v>357</v>
      </c>
      <c r="H131" s="9" t="s">
        <v>357</v>
      </c>
      <c r="I131" s="9" t="s">
        <v>357</v>
      </c>
      <c r="J131" s="9" t="s">
        <v>357</v>
      </c>
      <c r="K131" s="9" t="s">
        <v>357</v>
      </c>
      <c r="L131" s="9" t="s">
        <v>357</v>
      </c>
      <c r="M131" s="9" t="s">
        <v>357</v>
      </c>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row>
    <row r="132" spans="1:208" x14ac:dyDescent="0.2">
      <c r="A132" s="8" t="s">
        <v>255</v>
      </c>
      <c r="B132" s="9" t="s">
        <v>357</v>
      </c>
      <c r="C132" s="9" t="s">
        <v>357</v>
      </c>
      <c r="D132" s="26" t="s">
        <v>357</v>
      </c>
      <c r="E132" s="9" t="s">
        <v>357</v>
      </c>
      <c r="F132" s="9" t="s">
        <v>357</v>
      </c>
      <c r="G132" s="9" t="s">
        <v>357</v>
      </c>
      <c r="H132" s="9" t="s">
        <v>357</v>
      </c>
      <c r="I132" s="9" t="s">
        <v>357</v>
      </c>
      <c r="J132" s="9" t="s">
        <v>357</v>
      </c>
      <c r="K132" s="9" t="s">
        <v>357</v>
      </c>
      <c r="L132" s="9" t="s">
        <v>357</v>
      </c>
      <c r="M132" s="9" t="s">
        <v>357</v>
      </c>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row>
    <row r="133" spans="1:208" x14ac:dyDescent="0.2">
      <c r="A133" s="8" t="s">
        <v>380</v>
      </c>
      <c r="B133" s="9" t="s">
        <v>357</v>
      </c>
      <c r="C133" s="9" t="s">
        <v>357</v>
      </c>
      <c r="D133" s="9" t="s">
        <v>357</v>
      </c>
      <c r="E133" s="9" t="s">
        <v>357</v>
      </c>
      <c r="F133" s="9" t="s">
        <v>357</v>
      </c>
      <c r="G133" s="9" t="s">
        <v>357</v>
      </c>
      <c r="H133" s="9" t="s">
        <v>357</v>
      </c>
      <c r="I133" s="9" t="s">
        <v>357</v>
      </c>
      <c r="J133" s="9" t="s">
        <v>357</v>
      </c>
      <c r="K133" s="9" t="s">
        <v>357</v>
      </c>
      <c r="L133" s="9" t="s">
        <v>357</v>
      </c>
      <c r="M133" s="9" t="s">
        <v>357</v>
      </c>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row>
    <row r="134" spans="1:208" x14ac:dyDescent="0.2">
      <c r="A134" s="8" t="s">
        <v>302</v>
      </c>
      <c r="B134" s="9">
        <v>1</v>
      </c>
      <c r="C134" s="9">
        <v>1</v>
      </c>
      <c r="D134" s="9">
        <v>1</v>
      </c>
      <c r="E134" s="9">
        <v>1</v>
      </c>
      <c r="F134" s="9">
        <v>1</v>
      </c>
      <c r="G134" s="9">
        <v>1</v>
      </c>
      <c r="H134" s="9">
        <v>1</v>
      </c>
      <c r="I134" s="9">
        <v>1</v>
      </c>
      <c r="J134" s="9">
        <v>1</v>
      </c>
      <c r="K134" s="9">
        <v>1</v>
      </c>
      <c r="L134" s="9">
        <v>1</v>
      </c>
      <c r="M134" s="9">
        <v>1</v>
      </c>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row>
    <row r="135" spans="1:208" x14ac:dyDescent="0.2">
      <c r="A135" s="8" t="s">
        <v>303</v>
      </c>
      <c r="B135" s="9">
        <v>1</v>
      </c>
      <c r="C135" s="9">
        <v>1</v>
      </c>
      <c r="D135" s="9">
        <v>1</v>
      </c>
      <c r="E135" s="9">
        <v>1</v>
      </c>
      <c r="F135" s="9">
        <v>1</v>
      </c>
      <c r="G135" s="9">
        <v>1</v>
      </c>
      <c r="H135" s="9">
        <v>1</v>
      </c>
      <c r="I135" s="9">
        <v>1</v>
      </c>
      <c r="J135" s="9">
        <v>1</v>
      </c>
      <c r="K135" s="9">
        <v>1</v>
      </c>
      <c r="L135" s="9">
        <v>1</v>
      </c>
      <c r="M135" s="9">
        <v>1</v>
      </c>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row>
    <row r="136" spans="1:208" x14ac:dyDescent="0.2">
      <c r="A136" s="8" t="s">
        <v>317</v>
      </c>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row>
    <row r="137" spans="1:208" x14ac:dyDescent="0.2">
      <c r="A137" s="8" t="s">
        <v>26</v>
      </c>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row>
    <row r="138" spans="1:208" x14ac:dyDescent="0.2">
      <c r="A138" s="8" t="s">
        <v>346</v>
      </c>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c r="DG138" s="9"/>
      <c r="DH138" s="9"/>
      <c r="DI138" s="9"/>
      <c r="DJ138" s="9"/>
      <c r="DK138" s="9"/>
      <c r="DL138" s="9"/>
      <c r="DM138" s="9"/>
      <c r="DN138" s="9"/>
      <c r="DO138" s="9"/>
      <c r="DP138" s="9"/>
      <c r="DQ138" s="9"/>
      <c r="DR138" s="9"/>
      <c r="DS138" s="9"/>
      <c r="DT138" s="9"/>
      <c r="DU138" s="9"/>
      <c r="DV138" s="9"/>
      <c r="DW138" s="9"/>
      <c r="DX138" s="9"/>
      <c r="DY138" s="9"/>
      <c r="DZ138" s="9"/>
      <c r="EA138" s="9"/>
      <c r="EB138" s="9"/>
      <c r="EC138" s="9"/>
      <c r="ED138" s="9"/>
      <c r="EE138" s="9"/>
      <c r="EF138" s="9"/>
      <c r="EG138" s="9"/>
      <c r="EH138" s="9"/>
      <c r="EI138" s="9"/>
      <c r="EJ138" s="9"/>
      <c r="EK138" s="9"/>
      <c r="EL138" s="9"/>
      <c r="EM138" s="9"/>
      <c r="EN138" s="9"/>
      <c r="EO138" s="9"/>
      <c r="EP138" s="9"/>
      <c r="EQ138" s="9"/>
      <c r="ER138" s="9"/>
      <c r="ES138" s="9"/>
      <c r="ET138" s="9"/>
      <c r="EU138" s="9"/>
      <c r="EV138" s="9"/>
      <c r="EW138" s="9"/>
      <c r="EX138" s="9"/>
      <c r="EY138" s="9"/>
      <c r="EZ138" s="9"/>
      <c r="FA138" s="9"/>
      <c r="FB138" s="9"/>
      <c r="FC138" s="9"/>
      <c r="FD138" s="9"/>
      <c r="FE138" s="9"/>
      <c r="FF138" s="9"/>
      <c r="FG138" s="9"/>
      <c r="FH138" s="9"/>
      <c r="FI138" s="9"/>
      <c r="FJ138" s="9"/>
      <c r="FK138" s="9"/>
      <c r="FL138" s="9"/>
      <c r="FM138" s="9"/>
      <c r="FN138" s="9"/>
      <c r="FO138" s="9"/>
      <c r="FP138" s="9"/>
      <c r="FQ138" s="9"/>
      <c r="FR138" s="9"/>
      <c r="FS138" s="9"/>
      <c r="FT138" s="9"/>
      <c r="FU138" s="9"/>
      <c r="FV138" s="9"/>
      <c r="FW138" s="9"/>
      <c r="FX138" s="9"/>
      <c r="FY138" s="9"/>
      <c r="FZ138" s="9"/>
      <c r="GA138" s="9"/>
      <c r="GB138" s="9"/>
      <c r="GC138" s="9"/>
      <c r="GD138" s="9"/>
      <c r="GE138" s="9"/>
      <c r="GF138" s="9"/>
      <c r="GG138" s="9"/>
      <c r="GH138" s="9"/>
      <c r="GI138" s="9"/>
      <c r="GJ138" s="9"/>
      <c r="GK138" s="9"/>
      <c r="GL138" s="9"/>
      <c r="GM138" s="9"/>
      <c r="GN138" s="9"/>
      <c r="GO138" s="9"/>
      <c r="GP138" s="9"/>
      <c r="GQ138" s="9"/>
      <c r="GR138" s="9"/>
      <c r="GS138" s="9"/>
      <c r="GT138" s="9"/>
      <c r="GU138" s="9"/>
      <c r="GV138" s="9"/>
      <c r="GW138" s="9"/>
      <c r="GX138" s="9"/>
      <c r="GY138" s="9"/>
      <c r="GZ138" s="9"/>
    </row>
    <row r="139" spans="1:208" x14ac:dyDescent="0.2">
      <c r="A139" s="8" t="s">
        <v>399</v>
      </c>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row>
    <row r="140" spans="1:208" x14ac:dyDescent="0.2">
      <c r="A140" s="8"/>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row>
    <row r="141" spans="1:208" x14ac:dyDescent="0.2">
      <c r="A141" s="8"/>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row>
    <row r="142" spans="1:208" x14ac:dyDescent="0.2">
      <c r="A142" s="8"/>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c r="DG142" s="9"/>
      <c r="DH142" s="9"/>
      <c r="DI142" s="9"/>
      <c r="DJ142" s="9"/>
      <c r="DK142" s="9"/>
      <c r="DL142" s="9"/>
      <c r="DM142" s="9"/>
      <c r="DN142" s="9"/>
      <c r="DO142" s="9"/>
      <c r="DP142" s="9"/>
      <c r="DQ142" s="9"/>
      <c r="DR142" s="9"/>
      <c r="DS142" s="9"/>
      <c r="DT142" s="9"/>
      <c r="DU142" s="9"/>
      <c r="DV142" s="9"/>
      <c r="DW142" s="9"/>
      <c r="DX142" s="9"/>
      <c r="DY142" s="9"/>
      <c r="DZ142" s="9"/>
      <c r="EA142" s="9"/>
      <c r="EB142" s="9"/>
      <c r="EC142" s="9"/>
      <c r="ED142" s="9"/>
      <c r="EE142" s="9"/>
      <c r="EF142" s="9"/>
      <c r="EG142" s="9"/>
      <c r="EH142" s="9"/>
      <c r="EI142" s="9"/>
      <c r="EJ142" s="9"/>
      <c r="EK142" s="9"/>
      <c r="EL142" s="9"/>
      <c r="EM142" s="9"/>
      <c r="EN142" s="9"/>
      <c r="EO142" s="9"/>
      <c r="EP142" s="9"/>
      <c r="EQ142" s="9"/>
      <c r="ER142" s="9"/>
      <c r="ES142" s="9"/>
      <c r="ET142" s="9"/>
      <c r="EU142" s="9"/>
      <c r="EV142" s="9"/>
      <c r="EW142" s="9"/>
      <c r="EX142" s="9"/>
      <c r="EY142" s="9"/>
      <c r="EZ142" s="9"/>
      <c r="FA142" s="9"/>
      <c r="FB142" s="9"/>
      <c r="FC142" s="9"/>
      <c r="FD142" s="9"/>
      <c r="FE142" s="9"/>
      <c r="FF142" s="9"/>
      <c r="FG142" s="9"/>
      <c r="FH142" s="9"/>
      <c r="FI142" s="9"/>
      <c r="FJ142" s="9"/>
      <c r="FK142" s="9"/>
      <c r="FL142" s="9"/>
      <c r="FM142" s="9"/>
      <c r="FN142" s="9"/>
      <c r="FO142" s="9"/>
      <c r="FP142" s="9"/>
      <c r="FQ142" s="9"/>
      <c r="FR142" s="9"/>
      <c r="FS142" s="9"/>
      <c r="FT142" s="9"/>
      <c r="FU142" s="9"/>
      <c r="FV142" s="9"/>
      <c r="FW142" s="9"/>
      <c r="FX142" s="9"/>
      <c r="FY142" s="9"/>
      <c r="FZ142" s="9"/>
      <c r="GA142" s="9"/>
      <c r="GB142" s="9"/>
      <c r="GC142" s="9"/>
      <c r="GD142" s="9"/>
      <c r="GE142" s="9"/>
      <c r="GF142" s="9"/>
      <c r="GG142" s="9"/>
      <c r="GH142" s="9"/>
      <c r="GI142" s="9"/>
      <c r="GJ142" s="9"/>
      <c r="GK142" s="9"/>
      <c r="GL142" s="9"/>
      <c r="GM142" s="9"/>
      <c r="GN142" s="9"/>
      <c r="GO142" s="9"/>
      <c r="GP142" s="9"/>
      <c r="GQ142" s="9"/>
      <c r="GR142" s="9"/>
      <c r="GS142" s="9"/>
      <c r="GT142" s="9"/>
      <c r="GU142" s="9"/>
      <c r="GV142" s="9"/>
      <c r="GW142" s="9"/>
      <c r="GX142" s="9"/>
      <c r="GY142" s="9"/>
      <c r="GZ142" s="9"/>
    </row>
    <row r="143" spans="1:208" x14ac:dyDescent="0.2">
      <c r="A143" s="1" t="s">
        <v>245</v>
      </c>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row>
    <row r="144" spans="1:208" x14ac:dyDescent="0.2">
      <c r="A144" s="3" t="s">
        <v>261</v>
      </c>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row>
    <row r="145" spans="1:26" x14ac:dyDescent="0.2">
      <c r="A145" s="26" t="s">
        <v>262</v>
      </c>
      <c r="B145" s="9" t="s">
        <v>418</v>
      </c>
      <c r="C145" s="9" t="s">
        <v>419</v>
      </c>
      <c r="D145" s="9" t="s">
        <v>418</v>
      </c>
      <c r="E145" s="9" t="s">
        <v>419</v>
      </c>
      <c r="F145" s="9" t="s">
        <v>418</v>
      </c>
      <c r="G145" s="9" t="s">
        <v>419</v>
      </c>
      <c r="H145" s="9" t="s">
        <v>418</v>
      </c>
      <c r="I145" s="9" t="s">
        <v>419</v>
      </c>
      <c r="J145" s="9" t="s">
        <v>418</v>
      </c>
      <c r="K145" s="9" t="s">
        <v>419</v>
      </c>
      <c r="L145" s="9" t="s">
        <v>418</v>
      </c>
      <c r="M145" s="9" t="s">
        <v>419</v>
      </c>
      <c r="N145" s="9" t="s">
        <v>418</v>
      </c>
      <c r="O145" s="9" t="s">
        <v>419</v>
      </c>
      <c r="P145" s="9" t="s">
        <v>418</v>
      </c>
      <c r="Q145" s="9" t="s">
        <v>419</v>
      </c>
      <c r="R145" s="9" t="s">
        <v>418</v>
      </c>
      <c r="S145" s="9" t="s">
        <v>419</v>
      </c>
      <c r="T145" s="9" t="s">
        <v>418</v>
      </c>
      <c r="U145" s="9" t="s">
        <v>419</v>
      </c>
      <c r="V145" s="9" t="s">
        <v>418</v>
      </c>
      <c r="W145" s="9" t="s">
        <v>419</v>
      </c>
      <c r="X145" s="9" t="s">
        <v>418</v>
      </c>
      <c r="Y145" s="9" t="s">
        <v>419</v>
      </c>
      <c r="Z145" s="9"/>
    </row>
    <row r="146" spans="1:26" x14ac:dyDescent="0.2">
      <c r="A146" t="s">
        <v>264</v>
      </c>
      <c r="B146" s="9" t="s">
        <v>405</v>
      </c>
      <c r="C146" s="9" t="s">
        <v>405</v>
      </c>
      <c r="D146" s="9" t="s">
        <v>406</v>
      </c>
      <c r="E146" s="9" t="s">
        <v>406</v>
      </c>
      <c r="F146" s="9" t="s">
        <v>407</v>
      </c>
      <c r="G146" s="9" t="s">
        <v>407</v>
      </c>
      <c r="H146" s="9" t="s">
        <v>408</v>
      </c>
      <c r="I146" s="9" t="s">
        <v>408</v>
      </c>
      <c r="J146" s="9" t="s">
        <v>409</v>
      </c>
      <c r="K146" s="9" t="s">
        <v>409</v>
      </c>
      <c r="L146" s="9" t="s">
        <v>410</v>
      </c>
      <c r="M146" s="9" t="s">
        <v>410</v>
      </c>
      <c r="N146" s="9" t="s">
        <v>411</v>
      </c>
      <c r="O146" s="9" t="s">
        <v>411</v>
      </c>
      <c r="P146" s="9" t="s">
        <v>412</v>
      </c>
      <c r="Q146" s="9" t="s">
        <v>412</v>
      </c>
      <c r="R146" s="9" t="s">
        <v>413</v>
      </c>
      <c r="S146" s="9" t="s">
        <v>413</v>
      </c>
      <c r="T146" s="9" t="s">
        <v>414</v>
      </c>
      <c r="U146" s="9" t="s">
        <v>414</v>
      </c>
      <c r="V146" s="9" t="s">
        <v>415</v>
      </c>
      <c r="W146" s="9" t="s">
        <v>415</v>
      </c>
      <c r="X146" s="9" t="s">
        <v>416</v>
      </c>
      <c r="Y146" s="9" t="s">
        <v>416</v>
      </c>
      <c r="Z146" s="9"/>
    </row>
    <row r="147" spans="1:26" x14ac:dyDescent="0.2">
      <c r="A147" t="s">
        <v>305</v>
      </c>
      <c r="B147" s="9" t="s">
        <v>285</v>
      </c>
      <c r="C147" s="9" t="s">
        <v>286</v>
      </c>
      <c r="D147" s="9" t="s">
        <v>285</v>
      </c>
      <c r="E147" s="9" t="s">
        <v>286</v>
      </c>
      <c r="F147" s="9" t="s">
        <v>285</v>
      </c>
      <c r="G147" s="9" t="s">
        <v>286</v>
      </c>
      <c r="H147" s="9" t="s">
        <v>285</v>
      </c>
      <c r="I147" s="9" t="s">
        <v>286</v>
      </c>
      <c r="J147" s="9" t="s">
        <v>285</v>
      </c>
      <c r="K147" s="9" t="s">
        <v>286</v>
      </c>
      <c r="L147" s="9" t="s">
        <v>285</v>
      </c>
      <c r="M147" s="9" t="s">
        <v>286</v>
      </c>
      <c r="N147" s="9" t="s">
        <v>285</v>
      </c>
      <c r="O147" s="9" t="s">
        <v>286</v>
      </c>
      <c r="P147" s="9" t="s">
        <v>285</v>
      </c>
      <c r="Q147" s="9" t="s">
        <v>286</v>
      </c>
      <c r="R147" s="9" t="s">
        <v>285</v>
      </c>
      <c r="S147" s="9" t="s">
        <v>286</v>
      </c>
      <c r="T147" s="9" t="s">
        <v>285</v>
      </c>
      <c r="U147" s="9" t="s">
        <v>286</v>
      </c>
      <c r="V147" s="9" t="s">
        <v>285</v>
      </c>
      <c r="W147" s="9" t="s">
        <v>286</v>
      </c>
      <c r="X147" s="9" t="s">
        <v>285</v>
      </c>
      <c r="Y147" s="9" t="s">
        <v>286</v>
      </c>
      <c r="Z147" s="9"/>
    </row>
    <row r="148" spans="1:26" x14ac:dyDescent="0.2">
      <c r="A148" t="s">
        <v>306</v>
      </c>
      <c r="B148" s="9">
        <v>1</v>
      </c>
      <c r="C148" s="9">
        <v>1</v>
      </c>
      <c r="D148" s="9">
        <v>1</v>
      </c>
      <c r="E148" s="9">
        <v>1</v>
      </c>
      <c r="F148" s="9">
        <v>1</v>
      </c>
      <c r="G148" s="9">
        <v>1</v>
      </c>
      <c r="H148" s="9">
        <v>1</v>
      </c>
      <c r="I148" s="9">
        <v>1</v>
      </c>
      <c r="J148" s="9">
        <v>1</v>
      </c>
      <c r="K148" s="9">
        <v>1</v>
      </c>
      <c r="L148" s="9">
        <v>1</v>
      </c>
      <c r="M148" s="9">
        <v>1</v>
      </c>
      <c r="N148" s="9">
        <v>1</v>
      </c>
      <c r="O148" s="9">
        <v>1</v>
      </c>
      <c r="P148" s="9">
        <v>1</v>
      </c>
      <c r="Q148" s="9">
        <v>1</v>
      </c>
      <c r="R148" s="9">
        <v>1</v>
      </c>
      <c r="S148" s="9">
        <v>1</v>
      </c>
      <c r="T148" s="9">
        <v>1</v>
      </c>
      <c r="U148" s="9">
        <v>1</v>
      </c>
      <c r="V148" s="9">
        <v>1</v>
      </c>
      <c r="W148" s="9">
        <v>1</v>
      </c>
      <c r="X148" s="9">
        <v>1</v>
      </c>
      <c r="Y148" s="9">
        <v>1</v>
      </c>
      <c r="Z148" s="9"/>
    </row>
    <row r="149" spans="1:26" x14ac:dyDescent="0.2">
      <c r="A149" s="26" t="s">
        <v>379</v>
      </c>
      <c r="B149" s="9" t="s">
        <v>295</v>
      </c>
      <c r="C149" s="9" t="s">
        <v>404</v>
      </c>
      <c r="D149" s="9" t="s">
        <v>295</v>
      </c>
      <c r="E149" s="9" t="s">
        <v>404</v>
      </c>
      <c r="F149" s="9" t="s">
        <v>295</v>
      </c>
      <c r="G149" s="9" t="s">
        <v>404</v>
      </c>
      <c r="H149" s="9" t="s">
        <v>295</v>
      </c>
      <c r="I149" s="9" t="s">
        <v>404</v>
      </c>
      <c r="J149" s="9" t="s">
        <v>295</v>
      </c>
      <c r="K149" s="9" t="s">
        <v>404</v>
      </c>
      <c r="L149" s="9" t="s">
        <v>295</v>
      </c>
      <c r="M149" s="9" t="s">
        <v>404</v>
      </c>
      <c r="N149" s="9" t="s">
        <v>295</v>
      </c>
      <c r="O149" s="9" t="s">
        <v>404</v>
      </c>
      <c r="P149" s="9" t="s">
        <v>295</v>
      </c>
      <c r="Q149" s="9" t="s">
        <v>404</v>
      </c>
      <c r="R149" s="9" t="s">
        <v>295</v>
      </c>
      <c r="S149" s="9" t="s">
        <v>404</v>
      </c>
      <c r="T149" s="9" t="s">
        <v>295</v>
      </c>
      <c r="U149" s="9" t="s">
        <v>404</v>
      </c>
      <c r="V149" s="9" t="s">
        <v>295</v>
      </c>
      <c r="W149" s="9" t="s">
        <v>404</v>
      </c>
      <c r="X149" s="9" t="s">
        <v>295</v>
      </c>
      <c r="Y149" s="9" t="s">
        <v>404</v>
      </c>
      <c r="Z149" s="9"/>
    </row>
    <row r="150" spans="1:26" x14ac:dyDescent="0.2">
      <c r="A150" t="s">
        <v>307</v>
      </c>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x14ac:dyDescent="0.2">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x14ac:dyDescent="0.2">
      <c r="A152" s="1" t="s">
        <v>277</v>
      </c>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x14ac:dyDescent="0.2">
      <c r="A153" s="3" t="s">
        <v>261</v>
      </c>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x14ac:dyDescent="0.2">
      <c r="A154" s="26" t="s">
        <v>262</v>
      </c>
      <c r="B154" s="9" t="s">
        <v>420</v>
      </c>
      <c r="C154" s="9" t="s">
        <v>421</v>
      </c>
      <c r="D154" s="9" t="s">
        <v>420</v>
      </c>
      <c r="E154" s="9" t="s">
        <v>421</v>
      </c>
      <c r="F154" s="9" t="s">
        <v>420</v>
      </c>
      <c r="G154" s="9" t="s">
        <v>421</v>
      </c>
      <c r="H154" s="9" t="s">
        <v>420</v>
      </c>
      <c r="I154" s="9" t="s">
        <v>421</v>
      </c>
      <c r="J154" s="9" t="s">
        <v>420</v>
      </c>
      <c r="K154" s="9" t="s">
        <v>421</v>
      </c>
      <c r="L154" s="9" t="s">
        <v>420</v>
      </c>
      <c r="M154" s="9" t="s">
        <v>421</v>
      </c>
      <c r="N154" s="9" t="s">
        <v>420</v>
      </c>
      <c r="O154" s="9" t="s">
        <v>421</v>
      </c>
      <c r="P154" s="9" t="s">
        <v>420</v>
      </c>
      <c r="Q154" s="9" t="s">
        <v>421</v>
      </c>
      <c r="R154" s="9" t="s">
        <v>420</v>
      </c>
      <c r="S154" s="9" t="s">
        <v>421</v>
      </c>
      <c r="T154" s="9" t="s">
        <v>420</v>
      </c>
      <c r="U154" s="9" t="s">
        <v>421</v>
      </c>
      <c r="V154" s="9" t="s">
        <v>420</v>
      </c>
      <c r="W154" s="9" t="s">
        <v>421</v>
      </c>
      <c r="X154" s="9" t="s">
        <v>420</v>
      </c>
      <c r="Y154" s="9" t="s">
        <v>421</v>
      </c>
      <c r="Z154" s="9"/>
    </row>
    <row r="155" spans="1:26" x14ac:dyDescent="0.2">
      <c r="A155" t="s">
        <v>264</v>
      </c>
      <c r="B155" s="9">
        <v>1</v>
      </c>
      <c r="C155" s="9">
        <v>2</v>
      </c>
      <c r="D155" s="9">
        <v>3</v>
      </c>
      <c r="E155" s="9">
        <v>4</v>
      </c>
      <c r="F155" s="9">
        <v>5</v>
      </c>
      <c r="G155" s="9">
        <v>6</v>
      </c>
      <c r="H155" s="9">
        <v>7</v>
      </c>
      <c r="I155" s="9">
        <v>8</v>
      </c>
      <c r="J155" s="9">
        <v>9</v>
      </c>
      <c r="K155" s="9">
        <v>10</v>
      </c>
      <c r="L155" s="9">
        <v>11</v>
      </c>
      <c r="M155" s="9">
        <v>12</v>
      </c>
      <c r="N155" s="9">
        <v>13</v>
      </c>
      <c r="O155" s="9">
        <v>14</v>
      </c>
      <c r="P155" s="9">
        <v>15</v>
      </c>
      <c r="Q155" s="9">
        <v>16</v>
      </c>
      <c r="R155" s="9">
        <v>17</v>
      </c>
      <c r="S155" s="9">
        <v>18</v>
      </c>
      <c r="T155" s="9">
        <v>19</v>
      </c>
      <c r="U155" s="9">
        <v>20</v>
      </c>
      <c r="V155" s="9">
        <v>21</v>
      </c>
      <c r="W155" s="9">
        <v>22</v>
      </c>
      <c r="X155" s="9">
        <v>23</v>
      </c>
      <c r="Y155" s="9">
        <v>24</v>
      </c>
      <c r="Z155" s="9"/>
    </row>
    <row r="156" spans="1:26" x14ac:dyDescent="0.2">
      <c r="A156" t="s">
        <v>309</v>
      </c>
      <c r="B156" s="9" t="s">
        <v>418</v>
      </c>
      <c r="C156" s="9" t="s">
        <v>419</v>
      </c>
      <c r="D156" s="9" t="s">
        <v>418</v>
      </c>
      <c r="E156" s="9" t="s">
        <v>419</v>
      </c>
      <c r="F156" s="9" t="s">
        <v>418</v>
      </c>
      <c r="G156" s="9" t="s">
        <v>419</v>
      </c>
      <c r="H156" s="9" t="s">
        <v>418</v>
      </c>
      <c r="I156" s="9" t="s">
        <v>419</v>
      </c>
      <c r="J156" s="9" t="s">
        <v>418</v>
      </c>
      <c r="K156" s="9" t="s">
        <v>419</v>
      </c>
      <c r="L156" s="9" t="s">
        <v>418</v>
      </c>
      <c r="M156" s="9" t="s">
        <v>419</v>
      </c>
      <c r="N156" s="9" t="s">
        <v>418</v>
      </c>
      <c r="O156" s="9" t="s">
        <v>419</v>
      </c>
      <c r="P156" s="9" t="s">
        <v>418</v>
      </c>
      <c r="Q156" s="9" t="s">
        <v>419</v>
      </c>
      <c r="R156" s="9" t="s">
        <v>418</v>
      </c>
      <c r="S156" s="9" t="s">
        <v>419</v>
      </c>
      <c r="T156" s="9" t="s">
        <v>418</v>
      </c>
      <c r="U156" s="9" t="s">
        <v>419</v>
      </c>
      <c r="V156" s="9" t="s">
        <v>418</v>
      </c>
      <c r="W156" s="9" t="s">
        <v>419</v>
      </c>
      <c r="X156" s="9" t="s">
        <v>418</v>
      </c>
      <c r="Y156" s="9" t="s">
        <v>419</v>
      </c>
      <c r="Z156" s="9"/>
    </row>
    <row r="157" spans="1:26" x14ac:dyDescent="0.2">
      <c r="A157" t="s">
        <v>310</v>
      </c>
      <c r="B157" s="9" t="s">
        <v>373</v>
      </c>
      <c r="C157" s="9" t="s">
        <v>373</v>
      </c>
      <c r="D157" s="9" t="s">
        <v>373</v>
      </c>
      <c r="E157" s="9" t="s">
        <v>373</v>
      </c>
      <c r="F157" s="9" t="s">
        <v>373</v>
      </c>
      <c r="G157" s="9" t="s">
        <v>373</v>
      </c>
      <c r="H157" s="9" t="s">
        <v>373</v>
      </c>
      <c r="I157" s="9" t="s">
        <v>373</v>
      </c>
      <c r="J157" s="9" t="s">
        <v>373</v>
      </c>
      <c r="K157" s="9" t="s">
        <v>373</v>
      </c>
      <c r="L157" s="9" t="s">
        <v>373</v>
      </c>
      <c r="M157" s="9" t="s">
        <v>373</v>
      </c>
      <c r="N157" s="9" t="s">
        <v>373</v>
      </c>
      <c r="O157" s="9" t="s">
        <v>373</v>
      </c>
      <c r="P157" s="9" t="s">
        <v>373</v>
      </c>
      <c r="Q157" s="9" t="s">
        <v>373</v>
      </c>
      <c r="R157" s="9" t="s">
        <v>373</v>
      </c>
      <c r="S157" s="9" t="s">
        <v>373</v>
      </c>
      <c r="T157" s="9" t="s">
        <v>373</v>
      </c>
      <c r="U157" s="9" t="s">
        <v>373</v>
      </c>
      <c r="V157" s="9" t="s">
        <v>373</v>
      </c>
      <c r="W157" s="9" t="s">
        <v>373</v>
      </c>
      <c r="X157" s="9" t="s">
        <v>373</v>
      </c>
      <c r="Y157" s="9" t="s">
        <v>373</v>
      </c>
      <c r="Z157" s="9"/>
    </row>
    <row r="158" spans="1:26" x14ac:dyDescent="0.2">
      <c r="A158" s="26" t="s">
        <v>379</v>
      </c>
      <c r="B158" s="9">
        <v>1</v>
      </c>
      <c r="C158" s="9">
        <v>1</v>
      </c>
      <c r="D158" s="9">
        <v>1</v>
      </c>
      <c r="E158" s="9">
        <v>1</v>
      </c>
      <c r="F158" s="9">
        <v>1</v>
      </c>
      <c r="G158" s="9">
        <v>1</v>
      </c>
      <c r="H158" s="9">
        <v>1</v>
      </c>
      <c r="I158" s="9">
        <v>1</v>
      </c>
      <c r="J158" s="9">
        <v>1</v>
      </c>
      <c r="K158" s="9">
        <v>1</v>
      </c>
      <c r="L158" s="9">
        <v>1</v>
      </c>
      <c r="M158" s="9">
        <v>1</v>
      </c>
      <c r="N158" s="9">
        <v>1</v>
      </c>
      <c r="O158" s="9">
        <v>1</v>
      </c>
      <c r="P158" s="9">
        <v>1</v>
      </c>
      <c r="Q158" s="9">
        <v>1</v>
      </c>
      <c r="R158" s="9">
        <v>1</v>
      </c>
      <c r="S158" s="9">
        <v>1</v>
      </c>
      <c r="T158" s="9">
        <v>1</v>
      </c>
      <c r="U158" s="9">
        <v>1</v>
      </c>
      <c r="V158" s="9">
        <v>1</v>
      </c>
      <c r="W158" s="9">
        <v>1</v>
      </c>
      <c r="X158" s="9">
        <v>1</v>
      </c>
      <c r="Y158" s="9">
        <v>1</v>
      </c>
      <c r="Z158" s="9"/>
    </row>
    <row r="159" spans="1:26" x14ac:dyDescent="0.2">
      <c r="A159" t="s">
        <v>311</v>
      </c>
      <c r="B159" s="9" t="s">
        <v>367</v>
      </c>
      <c r="C159" s="9" t="s">
        <v>367</v>
      </c>
      <c r="D159" s="9" t="s">
        <v>367</v>
      </c>
      <c r="E159" s="9" t="s">
        <v>367</v>
      </c>
      <c r="F159" s="9" t="s">
        <v>367</v>
      </c>
      <c r="G159" s="9" t="s">
        <v>367</v>
      </c>
      <c r="H159" s="9" t="s">
        <v>367</v>
      </c>
      <c r="I159" s="9" t="s">
        <v>367</v>
      </c>
      <c r="J159" s="9" t="s">
        <v>367</v>
      </c>
      <c r="K159" s="9" t="s">
        <v>367</v>
      </c>
      <c r="L159" s="9" t="s">
        <v>367</v>
      </c>
      <c r="M159" s="9" t="s">
        <v>367</v>
      </c>
      <c r="N159" s="9" t="s">
        <v>367</v>
      </c>
      <c r="O159" s="9" t="s">
        <v>367</v>
      </c>
      <c r="P159" s="9" t="s">
        <v>367</v>
      </c>
      <c r="Q159" s="9" t="s">
        <v>367</v>
      </c>
      <c r="R159" s="9" t="s">
        <v>367</v>
      </c>
      <c r="S159" s="9" t="s">
        <v>367</v>
      </c>
      <c r="T159" s="9" t="s">
        <v>367</v>
      </c>
      <c r="U159" s="9" t="s">
        <v>367</v>
      </c>
      <c r="V159" s="9" t="s">
        <v>367</v>
      </c>
      <c r="W159" s="9" t="s">
        <v>367</v>
      </c>
      <c r="X159" s="9" t="s">
        <v>367</v>
      </c>
      <c r="Y159" s="9" t="s">
        <v>367</v>
      </c>
      <c r="Z159" s="9"/>
    </row>
    <row r="160" spans="1:26" x14ac:dyDescent="0.2">
      <c r="A160" t="s">
        <v>211</v>
      </c>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x14ac:dyDescent="0.2">
      <c r="A161" t="s">
        <v>210</v>
      </c>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x14ac:dyDescent="0.2">
      <c r="A162" t="s">
        <v>209</v>
      </c>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x14ac:dyDescent="0.2">
      <c r="A163" t="s">
        <v>208</v>
      </c>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x14ac:dyDescent="0.2">
      <c r="A164" t="s">
        <v>207</v>
      </c>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x14ac:dyDescent="0.2">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x14ac:dyDescent="0.2">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x14ac:dyDescent="0.2">
      <c r="A167" s="1" t="s">
        <v>347</v>
      </c>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x14ac:dyDescent="0.2">
      <c r="A168" s="1"/>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x14ac:dyDescent="0.2">
      <c r="A169" s="1"/>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x14ac:dyDescent="0.2">
      <c r="A170" s="1"/>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x14ac:dyDescent="0.2">
      <c r="A171" s="1"/>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x14ac:dyDescent="0.2">
      <c r="A172" s="1"/>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x14ac:dyDescent="0.2">
      <c r="A173" s="1"/>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x14ac:dyDescent="0.2">
      <c r="A174" s="1"/>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x14ac:dyDescent="0.2">
      <c r="A175" s="1"/>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x14ac:dyDescent="0.2">
      <c r="A176" s="1"/>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2:26" x14ac:dyDescent="0.2">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2:26" x14ac:dyDescent="0.2">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2:26" x14ac:dyDescent="0.2">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2:26" x14ac:dyDescent="0.2">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2:26" x14ac:dyDescent="0.2">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2:26" x14ac:dyDescent="0.2">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2:26" x14ac:dyDescent="0.2">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2:26" x14ac:dyDescent="0.2">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2:26" x14ac:dyDescent="0.2">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2:26" x14ac:dyDescent="0.2">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2:26" x14ac:dyDescent="0.2">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2:26" x14ac:dyDescent="0.2">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sheetData>
  <dataValidations count="1">
    <dataValidation type="list" allowBlank="1" showInputMessage="1" showErrorMessage="1" sqref="C1" xr:uid="{399C713F-1376-AA42-B5C6-42E1EB8004AB}">
      <formula1>"Yes,No"</formula1>
    </dataValidation>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29">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6ABDF74-CD1C-4D42-BAE5-964A2D95718C}">
          <x14:formula1>
            <xm:f>Validation!J7:J15</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051E3E8-7D81-7D4D-9A71-1EF907D268CD}">
          <x14:formula1>
            <xm:f>Validation!K6:K7</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7B5EE5C-0487-8240-8956-A4551279266E}">
          <x14:formula1>
            <xm:f>Validation_bool!O7:O8</xm:f>
          </x14:formula1>
          <xm:sqref>B104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17491CBC-6887-F147-96C8-6B0397FAC4E8}">
          <x14:formula1>
            <xm:f>Validation_bool!D7:D8</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DEAA62A-A934-ED49-A574-24C05AEBBF16}">
          <x14:formula1>
            <xm:f>Validation!C7:C9</xm:f>
          </x14:formula1>
          <xm:sqref>C41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AB68A96-1F51-924C-812B-B323E7B99ED0}">
          <x14:formula1>
            <xm:f>Validation_bool!Q7:Q8</xm:f>
          </x14:formula1>
          <xm:sqref>B22:B23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C3817A6-EC25-BD4B-A616-9CFBE6F998F9}">
          <x14:formula1>
            <xm:f>Validation!E7:E9</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45EDDA1-2CCB-4541-8D62-CB9464514783}">
          <x14:formula1>
            <xm:f>Validation!M7:M11</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1015832A-C62E-C240-81DB-ED16D7306FBF}">
          <x14:formula1>
            <xm:f>Validation!Q7:Q10</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551D245-98D9-3D49-9133-57B51CB078DB}">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B0BCF6CB-AAC9-E043-BB7A-30F2B1CC2966}">
          <x14:formula1>
            <xm:f>Validation_bool!E7:E8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D2585FE-7A39-AC4C-AA1A-A3775AAFEF84}">
          <x14:formula1>
            <xm:f>Validation_bool!F7:F8</xm:f>
          </x14:formula1>
          <xm:sqref>B33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85DA6D8-38B9-0743-A18C-023B489D4E65}">
          <x14:formula1>
            <xm:f>Validation_bool!E7:E8</xm:f>
          </x14:formula1>
          <xm:sqref>C34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C0A8773-EF5C-274D-AADA-1B107F6CF8C8}">
          <x14:formula1>
            <xm:f>Validation!P7:P8</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F76319E5-F610-A645-8261-4A036828842C}">
          <x14:formula1>
            <xm:f>Validation!C7:C9</xm:f>
          </x14:formula1>
          <xm:sqref>C40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D989165-D529-BF48-89AA-CEA1AB7970F6}">
          <x14:formula1>
            <xm:f>Validation_bool!G7:G8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A75F3B01-F55D-6A44-9014-892610586620}">
          <x14:formula1>
            <xm:f>Validation_bool!H7:H8</xm:f>
          </x14:formula1>
          <xm:sqref>B50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C1C3E924-D0FC-4044-AEFD-D59AD3DCD62F}">
          <x14:formula1>
            <xm:f>Validation_bool!P7:P8</xm:f>
          </x14:formula1>
          <xm:sqref>B56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BB1B5A1-3B75-4744-8C41-FF2397257DBF}">
          <x14:formula1>
            <xm:f>Validation_bool!E7:E8</xm:f>
          </x14:formula1>
          <xm:sqref>C57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7C5C430-A131-7245-A3A5-FEB2B7C9D4F6}">
          <x14:formula1>
            <xm:f>Validation_bool!J7:J8</xm:f>
          </x14:formula1>
          <xm:sqref>B75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35C22A1-50D7-D64E-A22C-B9418453CA22}">
          <x14:formula1>
            <xm:f>Validation_bool!K7:K8</xm:f>
          </x14:formula1>
          <xm:sqref>C76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1E31F42-1649-E840-8C26-CA0464004BA2}">
          <x14:formula1>
            <xm:f>Validation_bool!L7:L8</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852DBA6-5E06-9147-B32D-0AD465F532AD}">
          <x14:formula1>
            <xm:f>Validation!P7:P8</xm:f>
          </x14:formula1>
          <xm:sqref>C82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B021D6A-1378-D44F-BF3E-F0BA8048A241}">
          <x14:formula1>
            <xm:f>Validation_bool!M7:M8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C4E75AD6-4252-B745-9C0D-5B5AD6DC0AED}">
          <x14:formula1>
            <xm:f>Validation_bool!N7:N8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5C49526-D59B-3E42-9AEE-3AECA50CAF4F}">
          <x14:formula1>
            <xm:f>Validation!G8:G31</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5056C20-B7AE-DD49-A279-A86DEAFEAE95}">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A07BEA45-78B4-2D4D-AC5A-5C9EC6175590}">
          <x14:formula1>
            <xm:f>Validation!O7:O7</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C5AC28B4-C203-0544-B0C3-B3C15E1EC03E}">
          <x14:formula1>
            <xm:f>Validation!I7:I7</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89046-5D59-E944-BF9D-B0C887971C76}">
  <sheetPr codeName="Sheet8"/>
  <dimension ref="A1:H162"/>
  <sheetViews>
    <sheetView topLeftCell="A24" workbookViewId="0">
      <selection sqref="A1:XFD1048576"/>
    </sheetView>
  </sheetViews>
  <sheetFormatPr baseColWidth="10" defaultRowHeight="16" x14ac:dyDescent="0.2"/>
  <cols>
    <col min="1" max="1" width="38.6640625" customWidth="1"/>
    <col min="2" max="2" width="41.33203125" customWidth="1"/>
    <col min="3" max="3" width="17.83203125" customWidth="1"/>
    <col min="4" max="4" width="16.33203125" customWidth="1"/>
    <col min="5" max="5" width="37" customWidth="1"/>
    <col min="7" max="7" width="17.6640625" customWidth="1"/>
  </cols>
  <sheetData>
    <row r="1" spans="1:8" x14ac:dyDescent="0.2">
      <c r="C1" s="9" t="s">
        <v>58</v>
      </c>
    </row>
    <row r="3" spans="1:8" x14ac:dyDescent="0.2">
      <c r="A3" s="1" t="s">
        <v>0</v>
      </c>
    </row>
    <row r="4" spans="1:8" ht="16" customHeight="1" x14ac:dyDescent="0.2">
      <c r="A4" t="s">
        <v>1</v>
      </c>
      <c r="B4" s="9"/>
      <c r="E4" s="27" t="s">
        <v>336</v>
      </c>
      <c r="F4" s="16"/>
      <c r="G4" s="16"/>
      <c r="H4" s="16"/>
    </row>
    <row r="5" spans="1:8" x14ac:dyDescent="0.2">
      <c r="A5" t="s">
        <v>2</v>
      </c>
      <c r="B5" t="s">
        <v>334</v>
      </c>
      <c r="E5" s="22" t="s">
        <v>337</v>
      </c>
      <c r="F5" s="16"/>
      <c r="G5" s="16"/>
      <c r="H5" s="16"/>
    </row>
    <row r="6" spans="1:8" x14ac:dyDescent="0.2">
      <c r="A6" t="s">
        <v>3</v>
      </c>
      <c r="B6" s="15">
        <f ca="1">TODAY()</f>
        <v>44672</v>
      </c>
      <c r="E6" s="25" t="s">
        <v>338</v>
      </c>
      <c r="F6" s="16"/>
      <c r="G6" s="16"/>
      <c r="H6" s="16"/>
    </row>
    <row r="7" spans="1:8" x14ac:dyDescent="0.2">
      <c r="A7" t="s">
        <v>4</v>
      </c>
      <c r="B7" t="s">
        <v>335</v>
      </c>
      <c r="E7" s="22" t="s">
        <v>372</v>
      </c>
    </row>
    <row r="8" spans="1:8" x14ac:dyDescent="0.2">
      <c r="A8" s="2" t="s">
        <v>5</v>
      </c>
      <c r="E8" s="22" t="s">
        <v>343</v>
      </c>
    </row>
    <row r="9" spans="1:8" x14ac:dyDescent="0.2">
      <c r="A9" s="23" t="s">
        <v>8</v>
      </c>
      <c r="B9" s="9" t="s">
        <v>58</v>
      </c>
    </row>
    <row r="10" spans="1:8" x14ac:dyDescent="0.2">
      <c r="B10" t="s">
        <v>9</v>
      </c>
      <c r="C10" s="9"/>
      <c r="D10" t="s">
        <v>10</v>
      </c>
    </row>
    <row r="11" spans="1:8" x14ac:dyDescent="0.2">
      <c r="B11" t="s">
        <v>11</v>
      </c>
      <c r="C11" s="9"/>
      <c r="D11" t="s">
        <v>12</v>
      </c>
    </row>
    <row r="13" spans="1:8" x14ac:dyDescent="0.2">
      <c r="A13" s="1" t="s">
        <v>102</v>
      </c>
    </row>
    <row r="14" spans="1:8" x14ac:dyDescent="0.2">
      <c r="A14" t="s">
        <v>102</v>
      </c>
      <c r="B14" s="9" t="s">
        <v>60</v>
      </c>
    </row>
    <row r="15" spans="1:8" x14ac:dyDescent="0.2">
      <c r="A15" t="s">
        <v>235</v>
      </c>
      <c r="C15" s="7" t="s">
        <v>236</v>
      </c>
    </row>
    <row r="16" spans="1:8" x14ac:dyDescent="0.2">
      <c r="A16" t="s">
        <v>27</v>
      </c>
      <c r="B16" s="9" t="s">
        <v>358</v>
      </c>
    </row>
    <row r="17" spans="1:5" x14ac:dyDescent="0.2">
      <c r="A17" t="s">
        <v>292</v>
      </c>
      <c r="B17" s="9" t="s">
        <v>355</v>
      </c>
      <c r="C17" t="s">
        <v>344</v>
      </c>
    </row>
    <row r="21" spans="1:5" x14ac:dyDescent="0.2">
      <c r="A21" s="1" t="s">
        <v>237</v>
      </c>
    </row>
    <row r="22" spans="1:5" x14ac:dyDescent="0.2">
      <c r="A22" s="24" t="s">
        <v>289</v>
      </c>
      <c r="B22" s="9" t="s">
        <v>58</v>
      </c>
      <c r="E22" s="7"/>
    </row>
    <row r="23" spans="1:5" x14ac:dyDescent="0.2">
      <c r="A23" s="24"/>
      <c r="B23" s="3" t="s">
        <v>314</v>
      </c>
      <c r="C23" s="9" t="s">
        <v>58</v>
      </c>
      <c r="E23" s="7"/>
    </row>
    <row r="24" spans="1:5" x14ac:dyDescent="0.2">
      <c r="A24" s="1"/>
      <c r="B24" t="s">
        <v>232</v>
      </c>
      <c r="C24">
        <v>2</v>
      </c>
    </row>
    <row r="25" spans="1:5" x14ac:dyDescent="0.2">
      <c r="B25" t="s">
        <v>238</v>
      </c>
      <c r="C25">
        <v>2</v>
      </c>
      <c r="E25" s="7"/>
    </row>
    <row r="26" spans="1:5" x14ac:dyDescent="0.2">
      <c r="B26" t="s">
        <v>315</v>
      </c>
      <c r="C26" s="28" t="s">
        <v>246</v>
      </c>
      <c r="D26" s="28" t="s">
        <v>247</v>
      </c>
      <c r="E26" s="7" t="s">
        <v>316</v>
      </c>
    </row>
    <row r="27" spans="1:5" x14ac:dyDescent="0.2">
      <c r="B27" t="s">
        <v>270</v>
      </c>
      <c r="C27" s="9"/>
      <c r="E27" s="7"/>
    </row>
    <row r="28" spans="1:5" x14ac:dyDescent="0.2">
      <c r="B28" t="s">
        <v>293</v>
      </c>
      <c r="E28" s="7"/>
    </row>
    <row r="29" spans="1:5" x14ac:dyDescent="0.2">
      <c r="B29" s="2" t="s">
        <v>5</v>
      </c>
      <c r="E29" s="7"/>
    </row>
    <row r="30" spans="1:5" x14ac:dyDescent="0.2">
      <c r="E30" s="7"/>
    </row>
    <row r="31" spans="1:5" x14ac:dyDescent="0.2">
      <c r="A31" s="24" t="s">
        <v>233</v>
      </c>
      <c r="B31" s="9" t="s">
        <v>58</v>
      </c>
      <c r="E31" s="7"/>
    </row>
    <row r="32" spans="1:5" x14ac:dyDescent="0.2">
      <c r="B32" s="3" t="s">
        <v>314</v>
      </c>
      <c r="C32" s="9" t="s">
        <v>59</v>
      </c>
      <c r="E32" s="7"/>
    </row>
    <row r="33" spans="1:5" x14ac:dyDescent="0.2">
      <c r="A33" s="1"/>
      <c r="B33" t="s">
        <v>232</v>
      </c>
      <c r="C33">
        <v>1</v>
      </c>
      <c r="E33" t="s">
        <v>312</v>
      </c>
    </row>
    <row r="34" spans="1:5" x14ac:dyDescent="0.2">
      <c r="B34" t="s">
        <v>238</v>
      </c>
      <c r="C34">
        <v>1</v>
      </c>
      <c r="E34" s="7"/>
    </row>
    <row r="35" spans="1:5" x14ac:dyDescent="0.2">
      <c r="B35" t="s">
        <v>239</v>
      </c>
      <c r="C35" s="28" t="s">
        <v>313</v>
      </c>
    </row>
    <row r="36" spans="1:5" x14ac:dyDescent="0.2">
      <c r="B36" s="3" t="s">
        <v>319</v>
      </c>
    </row>
    <row r="37" spans="1:5" x14ac:dyDescent="0.2">
      <c r="B37" s="3" t="s">
        <v>320</v>
      </c>
      <c r="C37" s="9"/>
    </row>
    <row r="38" spans="1:5" x14ac:dyDescent="0.2">
      <c r="B38" s="3" t="s">
        <v>318</v>
      </c>
      <c r="C38" s="9"/>
    </row>
    <row r="39" spans="1:5" x14ac:dyDescent="0.2">
      <c r="B39" s="3" t="s">
        <v>321</v>
      </c>
      <c r="C39" s="9"/>
    </row>
    <row r="40" spans="1:5" x14ac:dyDescent="0.2">
      <c r="B40" s="2" t="s">
        <v>5</v>
      </c>
    </row>
    <row r="42" spans="1:5" x14ac:dyDescent="0.2">
      <c r="A42" s="24" t="s">
        <v>25</v>
      </c>
      <c r="B42" s="9" t="s">
        <v>58</v>
      </c>
    </row>
    <row r="43" spans="1:5" x14ac:dyDescent="0.2">
      <c r="A43" s="1"/>
      <c r="B43" t="s">
        <v>232</v>
      </c>
      <c r="C43">
        <v>2</v>
      </c>
    </row>
    <row r="44" spans="1:5" x14ac:dyDescent="0.2">
      <c r="B44" t="s">
        <v>238</v>
      </c>
      <c r="C44">
        <v>2</v>
      </c>
    </row>
    <row r="45" spans="1:5" x14ac:dyDescent="0.2">
      <c r="B45" t="s">
        <v>239</v>
      </c>
      <c r="C45" s="28" t="s">
        <v>248</v>
      </c>
      <c r="D45" s="28" t="s">
        <v>249</v>
      </c>
    </row>
    <row r="46" spans="1:5" x14ac:dyDescent="0.2">
      <c r="B46" s="2" t="s">
        <v>5</v>
      </c>
    </row>
    <row r="48" spans="1:5" x14ac:dyDescent="0.2">
      <c r="A48" s="24" t="s">
        <v>26</v>
      </c>
      <c r="B48" s="9" t="s">
        <v>58</v>
      </c>
    </row>
    <row r="49" spans="1:8" x14ac:dyDescent="0.2">
      <c r="A49" s="1"/>
      <c r="B49" t="s">
        <v>232</v>
      </c>
      <c r="C49">
        <v>2</v>
      </c>
    </row>
    <row r="50" spans="1:8" x14ac:dyDescent="0.2">
      <c r="B50" t="s">
        <v>238</v>
      </c>
      <c r="C50">
        <v>2</v>
      </c>
    </row>
    <row r="51" spans="1:8" x14ac:dyDescent="0.2">
      <c r="B51" t="s">
        <v>239</v>
      </c>
      <c r="C51" s="28" t="s">
        <v>362</v>
      </c>
      <c r="D51" s="28" t="s">
        <v>363</v>
      </c>
    </row>
    <row r="52" spans="1:8" x14ac:dyDescent="0.2">
      <c r="B52" s="2" t="s">
        <v>5</v>
      </c>
    </row>
    <row r="53" spans="1:8" x14ac:dyDescent="0.2">
      <c r="B53" s="3"/>
    </row>
    <row r="55" spans="1:8" x14ac:dyDescent="0.2">
      <c r="A55" s="1" t="s">
        <v>259</v>
      </c>
    </row>
    <row r="56" spans="1:8" x14ac:dyDescent="0.2">
      <c r="A56" s="3" t="s">
        <v>291</v>
      </c>
      <c r="B56" s="2" t="s">
        <v>317</v>
      </c>
      <c r="C56" s="3" t="s">
        <v>26</v>
      </c>
      <c r="D56" s="3" t="s">
        <v>346</v>
      </c>
    </row>
    <row r="57" spans="1:8" x14ac:dyDescent="0.2">
      <c r="A57" s="3" t="s">
        <v>290</v>
      </c>
      <c r="B57" s="3" t="s">
        <v>292</v>
      </c>
    </row>
    <row r="58" spans="1:8" ht="17" customHeight="1" x14ac:dyDescent="0.2">
      <c r="A58" s="3" t="s">
        <v>345</v>
      </c>
    </row>
    <row r="60" spans="1:8" x14ac:dyDescent="0.2">
      <c r="A60" s="1" t="s">
        <v>323</v>
      </c>
    </row>
    <row r="61" spans="1:8" x14ac:dyDescent="0.2">
      <c r="A61" s="23" t="s">
        <v>240</v>
      </c>
      <c r="B61" s="9" t="s">
        <v>58</v>
      </c>
    </row>
    <row r="62" spans="1:8" x14ac:dyDescent="0.2">
      <c r="A62" s="3"/>
      <c r="B62" s="23" t="s">
        <v>269</v>
      </c>
      <c r="C62" s="9" t="s">
        <v>58</v>
      </c>
      <c r="D62" s="7"/>
    </row>
    <row r="63" spans="1:8" x14ac:dyDescent="0.2">
      <c r="A63" s="3"/>
      <c r="B63" t="s">
        <v>339</v>
      </c>
      <c r="C63">
        <v>1</v>
      </c>
      <c r="D63" s="7"/>
    </row>
    <row r="64" spans="1:8" x14ac:dyDescent="0.2">
      <c r="A64" s="1"/>
      <c r="B64" t="s">
        <v>340</v>
      </c>
      <c r="C64" s="28" t="s">
        <v>250</v>
      </c>
      <c r="H64" s="7"/>
    </row>
    <row r="65" spans="1:8" x14ac:dyDescent="0.2">
      <c r="A65" s="1"/>
      <c r="B65" t="s">
        <v>5</v>
      </c>
      <c r="H65" s="7"/>
    </row>
    <row r="66" spans="1:8" x14ac:dyDescent="0.2">
      <c r="H66" s="7"/>
    </row>
    <row r="67" spans="1:8" x14ac:dyDescent="0.2">
      <c r="A67" s="1"/>
      <c r="B67" s="23" t="s">
        <v>268</v>
      </c>
      <c r="C67" s="9" t="s">
        <v>58</v>
      </c>
      <c r="H67" s="2"/>
    </row>
    <row r="68" spans="1:8" x14ac:dyDescent="0.2">
      <c r="A68" s="1"/>
      <c r="B68" t="s">
        <v>324</v>
      </c>
      <c r="C68" s="9"/>
    </row>
    <row r="69" spans="1:8" x14ac:dyDescent="0.2">
      <c r="A69" s="1"/>
      <c r="B69" t="s">
        <v>339</v>
      </c>
      <c r="C69">
        <v>2</v>
      </c>
    </row>
    <row r="70" spans="1:8" x14ac:dyDescent="0.2">
      <c r="A70" s="1"/>
      <c r="B70" t="s">
        <v>239</v>
      </c>
      <c r="C70" s="28" t="s">
        <v>325</v>
      </c>
      <c r="D70" s="28" t="s">
        <v>326</v>
      </c>
    </row>
    <row r="71" spans="1:8" x14ac:dyDescent="0.2">
      <c r="A71" s="1"/>
      <c r="B71" t="s">
        <v>327</v>
      </c>
      <c r="C71" s="15">
        <f ca="1">TODAY()-10</f>
        <v>44662</v>
      </c>
      <c r="D71" s="15">
        <f ca="1">TODAY()-5</f>
        <v>44667</v>
      </c>
      <c r="E71" s="15"/>
      <c r="F71" t="s">
        <v>333</v>
      </c>
    </row>
    <row r="72" spans="1:8" x14ac:dyDescent="0.2">
      <c r="A72" s="1"/>
      <c r="B72" t="s">
        <v>329</v>
      </c>
      <c r="C72" s="15">
        <f ca="1">TODAY()-5</f>
        <v>44667</v>
      </c>
      <c r="D72" s="15">
        <f ca="1">TODAY()</f>
        <v>44672</v>
      </c>
      <c r="E72" s="15"/>
    </row>
    <row r="73" spans="1:8" x14ac:dyDescent="0.2">
      <c r="A73" s="1"/>
      <c r="B73" t="s">
        <v>330</v>
      </c>
      <c r="C73" t="s">
        <v>246</v>
      </c>
      <c r="D73" t="s">
        <v>246</v>
      </c>
      <c r="F73" t="s">
        <v>341</v>
      </c>
    </row>
    <row r="74" spans="1:8" x14ac:dyDescent="0.2">
      <c r="A74" s="1"/>
      <c r="B74" t="s">
        <v>5</v>
      </c>
    </row>
    <row r="75" spans="1:8" x14ac:dyDescent="0.2">
      <c r="A75" s="1"/>
      <c r="B75" t="s">
        <v>331</v>
      </c>
      <c r="C75" s="15">
        <f ca="1">C72</f>
        <v>44667</v>
      </c>
      <c r="D75" s="15">
        <f ca="1">D72</f>
        <v>44672</v>
      </c>
    </row>
    <row r="76" spans="1:8" x14ac:dyDescent="0.2">
      <c r="A76" s="1"/>
      <c r="B76" t="s">
        <v>328</v>
      </c>
      <c r="C76" s="15">
        <f ca="1">C75+5</f>
        <v>44672</v>
      </c>
      <c r="D76" s="15">
        <f ca="1">D75+5</f>
        <v>44677</v>
      </c>
    </row>
    <row r="77" spans="1:8" x14ac:dyDescent="0.2">
      <c r="A77" s="1"/>
      <c r="B77" t="s">
        <v>332</v>
      </c>
      <c r="C77" t="s">
        <v>246</v>
      </c>
      <c r="D77" t="s">
        <v>247</v>
      </c>
    </row>
    <row r="78" spans="1:8" x14ac:dyDescent="0.2">
      <c r="A78" s="1"/>
      <c r="B78" t="s">
        <v>5</v>
      </c>
    </row>
    <row r="79" spans="1:8" x14ac:dyDescent="0.2">
      <c r="A79" s="1"/>
    </row>
    <row r="80" spans="1:8" x14ac:dyDescent="0.2">
      <c r="A80" s="1" t="s">
        <v>279</v>
      </c>
    </row>
    <row r="81" spans="1:4" x14ac:dyDescent="0.2">
      <c r="A81" s="3" t="s">
        <v>342</v>
      </c>
      <c r="B81" t="s">
        <v>364</v>
      </c>
      <c r="D81" s="7" t="s">
        <v>281</v>
      </c>
    </row>
    <row r="82" spans="1:4" x14ac:dyDescent="0.2">
      <c r="A82" s="23" t="s">
        <v>280</v>
      </c>
      <c r="B82" s="9" t="s">
        <v>58</v>
      </c>
      <c r="D82" s="7"/>
    </row>
    <row r="83" spans="1:4" x14ac:dyDescent="0.2">
      <c r="A83" s="3"/>
      <c r="D83" s="7"/>
    </row>
    <row r="84" spans="1:4" x14ac:dyDescent="0.2">
      <c r="A84" s="23" t="s">
        <v>282</v>
      </c>
      <c r="B84" s="26" t="s">
        <v>58</v>
      </c>
      <c r="D84" s="7" t="s">
        <v>284</v>
      </c>
    </row>
    <row r="85" spans="1:4" x14ac:dyDescent="0.2">
      <c r="A85" t="s">
        <v>339</v>
      </c>
      <c r="B85">
        <v>2</v>
      </c>
    </row>
    <row r="86" spans="1:4" x14ac:dyDescent="0.2">
      <c r="A86" s="3" t="s">
        <v>239</v>
      </c>
      <c r="B86" s="28" t="s">
        <v>285</v>
      </c>
      <c r="C86" s="28" t="s">
        <v>286</v>
      </c>
    </row>
    <row r="87" spans="1:4" x14ac:dyDescent="0.2">
      <c r="A87" s="3" t="s">
        <v>294</v>
      </c>
      <c r="B87" t="s">
        <v>295</v>
      </c>
      <c r="C87" t="s">
        <v>296</v>
      </c>
    </row>
    <row r="88" spans="1:4" x14ac:dyDescent="0.2">
      <c r="A88" s="3"/>
      <c r="B88" s="1"/>
    </row>
    <row r="89" spans="1:4" x14ac:dyDescent="0.2">
      <c r="A89" s="23" t="s">
        <v>283</v>
      </c>
      <c r="B89" s="9" t="s">
        <v>58</v>
      </c>
    </row>
    <row r="90" spans="1:4" x14ac:dyDescent="0.2">
      <c r="A90" t="s">
        <v>339</v>
      </c>
      <c r="B90" s="3">
        <v>2</v>
      </c>
    </row>
    <row r="91" spans="1:4" x14ac:dyDescent="0.2">
      <c r="A91" s="3" t="s">
        <v>239</v>
      </c>
      <c r="B91" s="29" t="s">
        <v>365</v>
      </c>
      <c r="C91" s="28" t="s">
        <v>366</v>
      </c>
    </row>
    <row r="92" spans="1:4" x14ac:dyDescent="0.2">
      <c r="A92" s="3" t="s">
        <v>294</v>
      </c>
      <c r="B92" s="3" t="s">
        <v>367</v>
      </c>
      <c r="C92" t="s">
        <v>368</v>
      </c>
    </row>
    <row r="93" spans="1:4" x14ac:dyDescent="0.2">
      <c r="A93" s="3"/>
    </row>
    <row r="94" spans="1:4" x14ac:dyDescent="0.2">
      <c r="A94" s="1" t="s">
        <v>287</v>
      </c>
    </row>
    <row r="95" spans="1:4" x14ac:dyDescent="0.2">
      <c r="A95" s="3" t="s">
        <v>299</v>
      </c>
      <c r="B95" s="9" t="s">
        <v>89</v>
      </c>
    </row>
    <row r="96" spans="1:4" x14ac:dyDescent="0.2">
      <c r="A96" s="3" t="s">
        <v>300</v>
      </c>
      <c r="B96" s="9" t="s">
        <v>300</v>
      </c>
    </row>
    <row r="97" spans="1:7" ht="17" x14ac:dyDescent="0.2">
      <c r="A97" s="18"/>
      <c r="B97" s="18" t="s">
        <v>304</v>
      </c>
      <c r="D97" s="7" t="s">
        <v>301</v>
      </c>
    </row>
    <row r="98" spans="1:7" x14ac:dyDescent="0.2">
      <c r="A98" s="3"/>
      <c r="B98" s="19" t="s">
        <v>207</v>
      </c>
      <c r="C98" t="s">
        <v>369</v>
      </c>
    </row>
    <row r="99" spans="1:7" x14ac:dyDescent="0.2">
      <c r="A99" s="17"/>
      <c r="B99" s="19" t="s">
        <v>208</v>
      </c>
      <c r="C99" t="s">
        <v>370</v>
      </c>
    </row>
    <row r="100" spans="1:7" x14ac:dyDescent="0.2">
      <c r="A100" s="3"/>
      <c r="B100" s="19" t="s">
        <v>209</v>
      </c>
      <c r="C100" t="s">
        <v>370</v>
      </c>
    </row>
    <row r="101" spans="1:7" x14ac:dyDescent="0.2">
      <c r="A101" s="3"/>
      <c r="B101" s="19" t="s">
        <v>210</v>
      </c>
      <c r="C101" t="s">
        <v>371</v>
      </c>
    </row>
    <row r="102" spans="1:7" x14ac:dyDescent="0.2">
      <c r="A102" s="3"/>
      <c r="B102" s="19" t="s">
        <v>211</v>
      </c>
      <c r="C102" t="s">
        <v>371</v>
      </c>
    </row>
    <row r="103" spans="1:7" x14ac:dyDescent="0.2">
      <c r="A103" s="3"/>
    </row>
    <row r="104" spans="1:7" x14ac:dyDescent="0.2">
      <c r="A104" s="1"/>
    </row>
    <row r="105" spans="1:7" x14ac:dyDescent="0.2">
      <c r="A105" s="1"/>
    </row>
    <row r="106" spans="1:7" x14ac:dyDescent="0.2">
      <c r="A106" s="1"/>
    </row>
    <row r="107" spans="1:7" x14ac:dyDescent="0.2">
      <c r="A107" s="1"/>
    </row>
    <row r="108" spans="1:7" x14ac:dyDescent="0.2">
      <c r="A108" s="1" t="s">
        <v>244</v>
      </c>
      <c r="B108" t="s">
        <v>263</v>
      </c>
      <c r="C108">
        <f>(C24*C25)+(C33*C34)+(C43*C44)+(C49*C50)</f>
        <v>13</v>
      </c>
      <c r="E108" s="10" t="s">
        <v>265</v>
      </c>
      <c r="F108" s="11" t="s">
        <v>266</v>
      </c>
      <c r="G108" s="12" t="s">
        <v>267</v>
      </c>
    </row>
    <row r="109" spans="1:7" x14ac:dyDescent="0.2">
      <c r="A109" s="1"/>
    </row>
    <row r="110" spans="1:7" x14ac:dyDescent="0.2">
      <c r="A110" s="8" t="s">
        <v>262</v>
      </c>
      <c r="F110" s="9"/>
    </row>
    <row r="111" spans="1:7" x14ac:dyDescent="0.2">
      <c r="A111" s="8" t="s">
        <v>261</v>
      </c>
    </row>
    <row r="112" spans="1:7" x14ac:dyDescent="0.2">
      <c r="A112" s="8" t="s">
        <v>264</v>
      </c>
    </row>
    <row r="113" spans="1:4" x14ac:dyDescent="0.2">
      <c r="A113" s="8" t="s">
        <v>297</v>
      </c>
    </row>
    <row r="114" spans="1:4" x14ac:dyDescent="0.2">
      <c r="A114" s="8" t="s">
        <v>298</v>
      </c>
    </row>
    <row r="115" spans="1:4" x14ac:dyDescent="0.2">
      <c r="A115" s="8" t="s">
        <v>251</v>
      </c>
    </row>
    <row r="116" spans="1:4" x14ac:dyDescent="0.2">
      <c r="A116" s="8" t="s">
        <v>252</v>
      </c>
    </row>
    <row r="117" spans="1:4" x14ac:dyDescent="0.2">
      <c r="A117" s="8" t="s">
        <v>253</v>
      </c>
    </row>
    <row r="118" spans="1:4" x14ac:dyDescent="0.2">
      <c r="A118" s="8" t="s">
        <v>254</v>
      </c>
    </row>
    <row r="119" spans="1:4" x14ac:dyDescent="0.2">
      <c r="A119" s="8" t="s">
        <v>255</v>
      </c>
      <c r="D119" s="3"/>
    </row>
    <row r="120" spans="1:4" x14ac:dyDescent="0.2">
      <c r="A120" s="8" t="s">
        <v>256</v>
      </c>
    </row>
    <row r="121" spans="1:4" x14ac:dyDescent="0.2">
      <c r="A121" s="8" t="s">
        <v>258</v>
      </c>
    </row>
    <row r="122" spans="1:4" x14ac:dyDescent="0.2">
      <c r="A122" s="8" t="s">
        <v>302</v>
      </c>
    </row>
    <row r="123" spans="1:4" x14ac:dyDescent="0.2">
      <c r="A123" s="8" t="s">
        <v>303</v>
      </c>
    </row>
    <row r="124" spans="1:4" x14ac:dyDescent="0.2">
      <c r="A124" s="13"/>
    </row>
    <row r="125" spans="1:4" x14ac:dyDescent="0.2">
      <c r="A125" s="13"/>
    </row>
    <row r="126" spans="1:4" x14ac:dyDescent="0.2">
      <c r="A126" s="13"/>
    </row>
    <row r="127" spans="1:4" x14ac:dyDescent="0.2">
      <c r="A127" s="13"/>
    </row>
    <row r="128" spans="1:4" x14ac:dyDescent="0.2">
      <c r="A128" s="13"/>
    </row>
    <row r="129" spans="1:1" x14ac:dyDescent="0.2">
      <c r="A129" s="13"/>
    </row>
    <row r="130" spans="1:1" x14ac:dyDescent="0.2">
      <c r="A130" s="13"/>
    </row>
    <row r="131" spans="1:1" x14ac:dyDescent="0.2">
      <c r="A131" s="11"/>
    </row>
    <row r="132" spans="1:1" x14ac:dyDescent="0.2">
      <c r="A132" s="11"/>
    </row>
    <row r="133" spans="1:1" x14ac:dyDescent="0.2">
      <c r="A133" s="11"/>
    </row>
    <row r="134" spans="1:1" x14ac:dyDescent="0.2">
      <c r="A134" s="13"/>
    </row>
    <row r="135" spans="1:1" x14ac:dyDescent="0.2">
      <c r="A135" s="11"/>
    </row>
    <row r="136" spans="1:1" x14ac:dyDescent="0.2">
      <c r="A136" s="11"/>
    </row>
    <row r="137" spans="1:1" x14ac:dyDescent="0.2">
      <c r="A137" s="11"/>
    </row>
    <row r="138" spans="1:1" x14ac:dyDescent="0.2">
      <c r="A138" s="14" t="str">
        <f>B56</f>
        <v>weight</v>
      </c>
    </row>
    <row r="139" spans="1:1" x14ac:dyDescent="0.2">
      <c r="A139" s="14" t="str">
        <f>B57</f>
        <v>sex</v>
      </c>
    </row>
    <row r="140" spans="1:1" x14ac:dyDescent="0.2">
      <c r="A140" s="3"/>
    </row>
    <row r="141" spans="1:1" x14ac:dyDescent="0.2">
      <c r="A141" s="3"/>
    </row>
    <row r="142" spans="1:1" x14ac:dyDescent="0.2">
      <c r="A142" s="1"/>
    </row>
    <row r="144" spans="1:1" x14ac:dyDescent="0.2">
      <c r="A144" s="1" t="s">
        <v>245</v>
      </c>
    </row>
    <row r="145" spans="1:1" x14ac:dyDescent="0.2">
      <c r="A145" t="s">
        <v>262</v>
      </c>
    </row>
    <row r="146" spans="1:1" x14ac:dyDescent="0.2">
      <c r="A146" t="s">
        <v>264</v>
      </c>
    </row>
    <row r="147" spans="1:1" x14ac:dyDescent="0.2">
      <c r="A147" t="s">
        <v>305</v>
      </c>
    </row>
    <row r="148" spans="1:1" x14ac:dyDescent="0.2">
      <c r="A148" t="s">
        <v>306</v>
      </c>
    </row>
    <row r="149" spans="1:1" x14ac:dyDescent="0.2">
      <c r="A149" t="s">
        <v>307</v>
      </c>
    </row>
    <row r="150" spans="1:1" x14ac:dyDescent="0.2">
      <c r="A150" t="s">
        <v>308</v>
      </c>
    </row>
    <row r="152" spans="1:1" x14ac:dyDescent="0.2">
      <c r="A152" s="1" t="s">
        <v>277</v>
      </c>
    </row>
    <row r="153" spans="1:1" x14ac:dyDescent="0.2">
      <c r="A153" t="s">
        <v>262</v>
      </c>
    </row>
    <row r="154" spans="1:1" x14ac:dyDescent="0.2">
      <c r="A154" t="s">
        <v>264</v>
      </c>
    </row>
    <row r="155" spans="1:1" x14ac:dyDescent="0.2">
      <c r="A155" t="s">
        <v>305</v>
      </c>
    </row>
    <row r="156" spans="1:1" x14ac:dyDescent="0.2">
      <c r="A156" t="s">
        <v>309</v>
      </c>
    </row>
    <row r="157" spans="1:1" x14ac:dyDescent="0.2">
      <c r="A157" t="s">
        <v>310</v>
      </c>
    </row>
    <row r="158" spans="1:1" x14ac:dyDescent="0.2">
      <c r="A158" t="s">
        <v>311</v>
      </c>
    </row>
    <row r="159" spans="1:1" x14ac:dyDescent="0.2">
      <c r="A159" t="s">
        <v>308</v>
      </c>
    </row>
    <row r="162" spans="1:1" x14ac:dyDescent="0.2">
      <c r="A162" s="1" t="s">
        <v>347</v>
      </c>
    </row>
  </sheetData>
  <dataValidations count="1">
    <dataValidation type="list" allowBlank="1" showInputMessage="1" showErrorMessage="1" sqref="C1" xr:uid="{9EFC0C5A-364F-254F-8675-7B4216AD4A7F}">
      <formula1>"Yes,No"</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1DE0286-1244-534D-B99D-7F30039DBA26}">
          <x14:formula1>
            <xm:f>Validation_bool!C7:C8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1C8F08D-6B32-7844-875E-59EADE0E5E06}">
          <x14:formula1>
            <xm:f>Validation!Q7:Q9</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00FBC43-6766-F54C-A1EB-8639F6081374}">
          <x14:formula1>
            <xm:f>Validation!M7:M10</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3651AD9-276D-5D4A-918B-83A0A088580B}">
          <x14:formula1>
            <xm:f>Validation!E7:E9</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B8116CDB-885A-6244-884F-141084759799}">
          <x14:formula1>
            <xm:f>Validation!I6:I7</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2F05BC1-4E8E-DB42-B53B-464E61721C33}">
          <x14:formula1>
            <xm:f>Validation!O6:O7</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ACF2012-861F-1449-BC29-A9B7AAEE20B9}">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E0E99E6-0D2D-C748-88C4-2545CDF9465B}">
          <x14:formula1>
            <xm:f>Validation!G8:G31</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FEE066B-4BCB-0A48-BBF6-7C675B75A375}">
          <x14:formula1>
            <xm:f>Validation_bool!E4:E5</xm:f>
          </x14:formula1>
          <xm:sqref>C23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ABF5CF5-BC09-384F-82E5-974D34DB18BA}">
          <x14:formula1>
            <xm:f>Validation_bool!F7:F8</xm:f>
          </x14:formula1>
          <xm:sqref>B31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1CBC90AB-6F70-5A48-9CD7-563DA242458F}">
          <x14:formula1>
            <xm:f>Validation_bool!D7:D8</xm:f>
          </x14:formula1>
          <xm:sqref>C27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E1B36AFD-44B4-644A-B008-A63972B761E0}">
          <x14:formula1>
            <xm:f>Validation_bool!E4:E5</xm:f>
          </x14:formula1>
          <xm:sqref>C32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3C1FC83F-A3DB-1C4D-9243-E47CCC14AED2}">
          <x14:formula1>
            <xm:f>Validation!K6:K7</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7E1DA8B-34E2-8240-83DA-822DA50B5D81}">
          <x14:formula1>
            <xm:f>Validation!J7:J15</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53879067-2E02-014C-96B4-82B6D0933A71}">
          <x14:formula1>
            <xm:f>Validation_bool!O7:O8</xm:f>
          </x14:formula1>
          <xm:sqref>B89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C05C1E9-370E-F049-B1A2-8144D34E1547}">
          <x14:formula1>
            <xm:f>Validation_bool!N7:N8</xm:f>
          </x14:formula1>
          <xm:sqref>B84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425DB793-B357-7E47-B343-A067056410FA}">
          <x14:formula1>
            <xm:f>Validation_bool!M7:M8</xm:f>
          </x14:formula1>
          <xm:sqref>B82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E4CFD28-9669-4C4B-B9AB-13041B26C4F8}">
          <x14:formula1>
            <xm:f>Validation!P5:P6</xm:f>
          </x14:formula1>
          <xm:sqref>C68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E428EBC-8519-9E4E-9E40-C6B4DA7647AB}">
          <x14:formula1>
            <xm:f>Validation_bool!L7:L8</xm:f>
          </x14:formula1>
          <xm:sqref>C67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EAFDA26D-B9E9-A448-BB6A-C5A8E2E51383}">
          <x14:formula1>
            <xm:f>Validation_bool!K7:K8</xm:f>
          </x14:formula1>
          <xm:sqref>C62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DC1F0002-EA18-014E-81D7-75C1C919E795}">
          <x14:formula1>
            <xm:f>Validation_bool!J7:J8</xm:f>
          </x14:formula1>
          <xm:sqref>B61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85D856BB-9D32-B44B-9B9C-437149E1C328}">
          <x14:formula1>
            <xm:f>Validation_bool!H7:H8</xm:f>
          </x14:formula1>
          <xm:sqref>B48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0311964C-31EA-3843-8B8F-8DA35C410579}">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9A0FDCBE-347B-DD44-BD6F-AF4FDA054E20}">
          <x14:formula1>
            <xm:f>Validation!C7:C9</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BFD9BE57-84A7-8745-8DAC-2808E1DAC50C}">
          <x14:formula1>
            <xm:f>Validation!C7:C9</xm:f>
          </x14:formula1>
          <xm:sqref>C38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6FF9A810-DF60-D845-9EAE-1A08F23F7944}">
          <x14:formula1>
            <xm:f>Validation!P6:P7</xm:f>
          </x14:formula1>
          <xm:sqref>C37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9D5F-87F6-234D-8488-F67B8715CD6F}">
  <sheetPr codeName="Sheet6"/>
  <dimension ref="A1:Q31"/>
  <sheetViews>
    <sheetView workbookViewId="0">
      <selection activeCell="E6" sqref="E6"/>
    </sheetView>
  </sheetViews>
  <sheetFormatPr baseColWidth="10" defaultRowHeight="16" x14ac:dyDescent="0.2"/>
  <cols>
    <col min="1" max="1" width="20.33203125" customWidth="1"/>
    <col min="10" max="10" width="19.6640625" customWidth="1"/>
  </cols>
  <sheetData>
    <row r="1" spans="1:17" x14ac:dyDescent="0.2">
      <c r="A1" s="20" t="s">
        <v>103</v>
      </c>
      <c r="C1" s="4" t="s">
        <v>105</v>
      </c>
      <c r="D1" s="4" t="s">
        <v>105</v>
      </c>
      <c r="E1" s="4" t="s">
        <v>105</v>
      </c>
      <c r="F1" s="4" t="s">
        <v>105</v>
      </c>
      <c r="G1" s="4" t="s">
        <v>105</v>
      </c>
      <c r="H1" s="4"/>
      <c r="I1" s="4" t="s">
        <v>105</v>
      </c>
      <c r="J1" s="4" t="s">
        <v>105</v>
      </c>
      <c r="K1" s="4" t="s">
        <v>105</v>
      </c>
      <c r="L1" s="4" t="s">
        <v>105</v>
      </c>
      <c r="M1" s="4" t="s">
        <v>105</v>
      </c>
      <c r="N1" s="4" t="s">
        <v>105</v>
      </c>
      <c r="O1" s="4" t="s">
        <v>105</v>
      </c>
      <c r="P1" s="4" t="s">
        <v>105</v>
      </c>
      <c r="Q1" s="4" t="s">
        <v>105</v>
      </c>
    </row>
    <row r="2" spans="1:17" x14ac:dyDescent="0.2">
      <c r="A2" s="20" t="s">
        <v>107</v>
      </c>
    </row>
    <row r="3" spans="1:17" x14ac:dyDescent="0.2">
      <c r="A3" s="20" t="s">
        <v>127</v>
      </c>
    </row>
    <row r="4" spans="1:17" x14ac:dyDescent="0.2">
      <c r="A4" s="20" t="s">
        <v>229</v>
      </c>
    </row>
    <row r="5" spans="1:17" x14ac:dyDescent="0.2">
      <c r="A5" s="20" t="s">
        <v>141</v>
      </c>
    </row>
    <row r="6" spans="1:17" s="1" customFormat="1" x14ac:dyDescent="0.2">
      <c r="B6" s="1" t="s">
        <v>26</v>
      </c>
      <c r="C6" s="1" t="s">
        <v>321</v>
      </c>
      <c r="D6" s="1" t="s">
        <v>289</v>
      </c>
      <c r="E6" s="1" t="s">
        <v>102</v>
      </c>
      <c r="F6" s="1" t="s">
        <v>25</v>
      </c>
      <c r="G6" s="1" t="s">
        <v>402</v>
      </c>
      <c r="H6" s="1" t="s">
        <v>322</v>
      </c>
      <c r="I6" s="1" t="s">
        <v>11</v>
      </c>
      <c r="J6" s="1" t="s">
        <v>299</v>
      </c>
      <c r="K6" s="1" t="s">
        <v>300</v>
      </c>
      <c r="L6" s="1" t="s">
        <v>235</v>
      </c>
      <c r="M6" s="1" t="s">
        <v>27</v>
      </c>
      <c r="N6" s="1" t="s">
        <v>233</v>
      </c>
      <c r="O6" s="1" t="s">
        <v>9</v>
      </c>
      <c r="P6" s="1" t="s">
        <v>324</v>
      </c>
      <c r="Q6" s="1" t="s">
        <v>292</v>
      </c>
    </row>
    <row r="7" spans="1:17" x14ac:dyDescent="0.2">
      <c r="C7" t="s">
        <v>350</v>
      </c>
      <c r="D7" t="s">
        <v>351</v>
      </c>
      <c r="E7" t="s">
        <v>61</v>
      </c>
      <c r="F7" t="s">
        <v>398</v>
      </c>
      <c r="G7" s="4" t="s">
        <v>63</v>
      </c>
      <c r="I7" t="s">
        <v>398</v>
      </c>
      <c r="J7" s="4" t="s">
        <v>88</v>
      </c>
      <c r="K7" t="s">
        <v>395</v>
      </c>
      <c r="L7" t="s">
        <v>398</v>
      </c>
      <c r="M7" t="s">
        <v>361</v>
      </c>
      <c r="N7" t="s">
        <v>398</v>
      </c>
      <c r="O7" t="s">
        <v>398</v>
      </c>
      <c r="P7" t="s">
        <v>289</v>
      </c>
      <c r="Q7" t="s">
        <v>370</v>
      </c>
    </row>
    <row r="8" spans="1:17" x14ac:dyDescent="0.2">
      <c r="C8" t="s">
        <v>349</v>
      </c>
      <c r="D8" t="s">
        <v>352</v>
      </c>
      <c r="E8" t="s">
        <v>62</v>
      </c>
      <c r="G8" s="4" t="s">
        <v>64</v>
      </c>
      <c r="J8" s="4" t="s">
        <v>96</v>
      </c>
      <c r="K8" t="s">
        <v>396</v>
      </c>
      <c r="M8" t="s">
        <v>359</v>
      </c>
      <c r="P8" t="s">
        <v>233</v>
      </c>
      <c r="Q8" t="s">
        <v>356</v>
      </c>
    </row>
    <row r="9" spans="1:17" x14ac:dyDescent="0.2">
      <c r="C9" t="s">
        <v>348</v>
      </c>
      <c r="D9" t="s">
        <v>353</v>
      </c>
      <c r="E9" t="s">
        <v>60</v>
      </c>
      <c r="G9" s="4" t="s">
        <v>65</v>
      </c>
      <c r="J9" s="4" t="s">
        <v>89</v>
      </c>
      <c r="K9" t="s">
        <v>397</v>
      </c>
      <c r="M9" t="s">
        <v>370</v>
      </c>
      <c r="Q9" t="s">
        <v>355</v>
      </c>
    </row>
    <row r="10" spans="1:17" x14ac:dyDescent="0.2">
      <c r="D10" t="s">
        <v>246</v>
      </c>
      <c r="G10" s="4" t="s">
        <v>66</v>
      </c>
      <c r="J10" s="4" t="s">
        <v>90</v>
      </c>
      <c r="M10" t="s">
        <v>360</v>
      </c>
      <c r="Q10" t="s">
        <v>357</v>
      </c>
    </row>
    <row r="11" spans="1:17" x14ac:dyDescent="0.2">
      <c r="D11" t="s">
        <v>354</v>
      </c>
      <c r="G11" s="4" t="s">
        <v>67</v>
      </c>
      <c r="J11" s="4" t="s">
        <v>91</v>
      </c>
      <c r="M11" t="s">
        <v>358</v>
      </c>
    </row>
    <row r="12" spans="1:17" x14ac:dyDescent="0.2">
      <c r="G12" s="4" t="s">
        <v>68</v>
      </c>
      <c r="J12" s="4" t="s">
        <v>92</v>
      </c>
    </row>
    <row r="13" spans="1:17" x14ac:dyDescent="0.2">
      <c r="G13" s="4" t="s">
        <v>69</v>
      </c>
      <c r="J13" s="4" t="s">
        <v>93</v>
      </c>
    </row>
    <row r="14" spans="1:17" x14ac:dyDescent="0.2">
      <c r="G14" s="4" t="s">
        <v>70</v>
      </c>
      <c r="J14" s="4" t="s">
        <v>94</v>
      </c>
    </row>
    <row r="15" spans="1:17" x14ac:dyDescent="0.2">
      <c r="G15" t="s">
        <v>1</v>
      </c>
      <c r="J15" s="4" t="s">
        <v>95</v>
      </c>
    </row>
    <row r="16" spans="1:17" x14ac:dyDescent="0.2">
      <c r="G16" s="4" t="s">
        <v>71</v>
      </c>
    </row>
    <row r="17" spans="7:7" x14ac:dyDescent="0.2">
      <c r="G17" s="4" t="s">
        <v>72</v>
      </c>
    </row>
    <row r="18" spans="7:7" x14ac:dyDescent="0.2">
      <c r="G18" s="4" t="s">
        <v>73</v>
      </c>
    </row>
    <row r="19" spans="7:7" x14ac:dyDescent="0.2">
      <c r="G19" s="4" t="s">
        <v>74</v>
      </c>
    </row>
    <row r="20" spans="7:7" x14ac:dyDescent="0.2">
      <c r="G20" s="4" t="s">
        <v>75</v>
      </c>
    </row>
    <row r="21" spans="7:7" x14ac:dyDescent="0.2">
      <c r="G21" s="4" t="s">
        <v>76</v>
      </c>
    </row>
    <row r="22" spans="7:7" x14ac:dyDescent="0.2">
      <c r="G22" s="4" t="s">
        <v>77</v>
      </c>
    </row>
    <row r="23" spans="7:7" x14ac:dyDescent="0.2">
      <c r="G23" s="4" t="s">
        <v>78</v>
      </c>
    </row>
    <row r="24" spans="7:7" x14ac:dyDescent="0.2">
      <c r="G24" s="4" t="s">
        <v>79</v>
      </c>
    </row>
    <row r="25" spans="7:7" x14ac:dyDescent="0.2">
      <c r="G25" s="4" t="s">
        <v>80</v>
      </c>
    </row>
    <row r="26" spans="7:7" x14ac:dyDescent="0.2">
      <c r="G26" s="4" t="s">
        <v>81</v>
      </c>
    </row>
    <row r="27" spans="7:7" x14ac:dyDescent="0.2">
      <c r="G27" s="4" t="s">
        <v>82</v>
      </c>
    </row>
    <row r="28" spans="7:7" x14ac:dyDescent="0.2">
      <c r="G28" s="4" t="s">
        <v>83</v>
      </c>
    </row>
    <row r="29" spans="7:7" x14ac:dyDescent="0.2">
      <c r="G29" s="4" t="s">
        <v>84</v>
      </c>
    </row>
    <row r="30" spans="7:7" x14ac:dyDescent="0.2">
      <c r="G30" s="4" t="s">
        <v>85</v>
      </c>
    </row>
    <row r="31" spans="7:7" x14ac:dyDescent="0.2">
      <c r="G31" s="4" t="s">
        <v>86</v>
      </c>
    </row>
  </sheetData>
  <sortState xmlns:xlrd2="http://schemas.microsoft.com/office/spreadsheetml/2017/richdata2" ref="I7">
    <sortCondition ref="I7"/>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G31" xr:uid="{3BAC9146-46F5-CD49-BBBD-574C464A0734}">
      <formula1>ValidationOfX29</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13F6-A24B-3644-924C-6B14DA376F69}">
  <sheetPr codeName="Sheet7"/>
  <dimension ref="A1:Q27"/>
  <sheetViews>
    <sheetView workbookViewId="0">
      <selection activeCell="A5" sqref="A5:XFD5"/>
    </sheetView>
  </sheetViews>
  <sheetFormatPr baseColWidth="10" defaultRowHeight="16" x14ac:dyDescent="0.2"/>
  <cols>
    <col min="1" max="1" width="17.5" customWidth="1"/>
  </cols>
  <sheetData>
    <row r="1" spans="1:17" x14ac:dyDescent="0.2">
      <c r="A1" s="20" t="s">
        <v>103</v>
      </c>
      <c r="B1" t="s">
        <v>105</v>
      </c>
      <c r="C1" t="s">
        <v>105</v>
      </c>
      <c r="D1" t="s">
        <v>105</v>
      </c>
      <c r="E1" t="s">
        <v>105</v>
      </c>
      <c r="F1" t="s">
        <v>105</v>
      </c>
      <c r="G1" t="s">
        <v>105</v>
      </c>
      <c r="H1" t="s">
        <v>105</v>
      </c>
      <c r="I1" t="s">
        <v>105</v>
      </c>
      <c r="J1" t="s">
        <v>105</v>
      </c>
      <c r="K1" t="s">
        <v>105</v>
      </c>
      <c r="L1" t="s">
        <v>105</v>
      </c>
      <c r="M1" t="s">
        <v>105</v>
      </c>
      <c r="N1" t="s">
        <v>105</v>
      </c>
      <c r="O1" t="s">
        <v>105</v>
      </c>
      <c r="P1" t="s">
        <v>105</v>
      </c>
      <c r="Q1" t="s">
        <v>105</v>
      </c>
    </row>
    <row r="2" spans="1:17" x14ac:dyDescent="0.2">
      <c r="A2" s="20" t="s">
        <v>107</v>
      </c>
    </row>
    <row r="3" spans="1:17" x14ac:dyDescent="0.2">
      <c r="A3" s="20" t="s">
        <v>127</v>
      </c>
    </row>
    <row r="4" spans="1:17" x14ac:dyDescent="0.2">
      <c r="A4" s="20" t="s">
        <v>229</v>
      </c>
    </row>
    <row r="5" spans="1:17" x14ac:dyDescent="0.2">
      <c r="A5" s="20" t="s">
        <v>141</v>
      </c>
    </row>
    <row r="6" spans="1:17" s="1" customFormat="1" x14ac:dyDescent="0.2">
      <c r="B6" s="1" t="s">
        <v>8</v>
      </c>
      <c r="C6" s="1" t="s">
        <v>289</v>
      </c>
      <c r="D6" s="1" t="s">
        <v>270</v>
      </c>
      <c r="E6" s="1" t="s">
        <v>314</v>
      </c>
      <c r="F6" s="1" t="s">
        <v>233</v>
      </c>
      <c r="G6" s="1" t="s">
        <v>25</v>
      </c>
      <c r="H6" s="1" t="s">
        <v>26</v>
      </c>
      <c r="I6" s="1" t="s">
        <v>257</v>
      </c>
      <c r="J6" s="1" t="s">
        <v>240</v>
      </c>
      <c r="K6" s="1" t="s">
        <v>269</v>
      </c>
      <c r="L6" s="1" t="s">
        <v>268</v>
      </c>
      <c r="M6" s="1" t="s">
        <v>280</v>
      </c>
      <c r="N6" s="1" t="s">
        <v>282</v>
      </c>
      <c r="O6" s="1" t="s">
        <v>283</v>
      </c>
      <c r="P6" s="1" t="s">
        <v>374</v>
      </c>
      <c r="Q6" s="1" t="s">
        <v>375</v>
      </c>
    </row>
    <row r="7" spans="1:17" ht="17" x14ac:dyDescent="0.2">
      <c r="B7" s="21" t="s">
        <v>59</v>
      </c>
      <c r="C7" s="21" t="s">
        <v>59</v>
      </c>
      <c r="D7" s="21" t="s">
        <v>59</v>
      </c>
      <c r="E7" s="21" t="s">
        <v>59</v>
      </c>
      <c r="F7" s="21" t="s">
        <v>59</v>
      </c>
      <c r="G7" s="21" t="s">
        <v>59</v>
      </c>
      <c r="H7" s="21" t="s">
        <v>59</v>
      </c>
      <c r="I7" s="21" t="s">
        <v>58</v>
      </c>
      <c r="J7" s="21" t="s">
        <v>59</v>
      </c>
      <c r="K7" s="21" t="s">
        <v>59</v>
      </c>
      <c r="L7" s="21" t="s">
        <v>59</v>
      </c>
      <c r="M7" s="21" t="s">
        <v>59</v>
      </c>
      <c r="N7" s="21" t="s">
        <v>59</v>
      </c>
      <c r="O7" s="21" t="s">
        <v>59</v>
      </c>
      <c r="P7" s="21" t="s">
        <v>59</v>
      </c>
      <c r="Q7" s="21" t="s">
        <v>59</v>
      </c>
    </row>
    <row r="8" spans="1:17" ht="17" x14ac:dyDescent="0.2">
      <c r="B8" s="21" t="s">
        <v>58</v>
      </c>
      <c r="C8" s="21" t="s">
        <v>58</v>
      </c>
      <c r="D8" s="21" t="s">
        <v>58</v>
      </c>
      <c r="E8" s="21" t="s">
        <v>58</v>
      </c>
      <c r="F8" s="21" t="s">
        <v>58</v>
      </c>
      <c r="G8" s="21" t="s">
        <v>58</v>
      </c>
      <c r="H8" s="21" t="s">
        <v>58</v>
      </c>
      <c r="I8" s="21" t="s">
        <v>59</v>
      </c>
      <c r="J8" s="21" t="s">
        <v>58</v>
      </c>
      <c r="K8" s="21" t="s">
        <v>58</v>
      </c>
      <c r="L8" s="21" t="s">
        <v>58</v>
      </c>
      <c r="M8" s="21" t="s">
        <v>58</v>
      </c>
      <c r="N8" s="21" t="s">
        <v>58</v>
      </c>
      <c r="O8" s="21" t="s">
        <v>58</v>
      </c>
      <c r="P8" s="21" t="s">
        <v>58</v>
      </c>
      <c r="Q8" s="21" t="s">
        <v>58</v>
      </c>
    </row>
    <row r="9" spans="1:17" ht="17" x14ac:dyDescent="0.2">
      <c r="B9" s="21"/>
    </row>
    <row r="10" spans="1:17" ht="17" x14ac:dyDescent="0.2">
      <c r="B10" s="21"/>
    </row>
    <row r="11" spans="1:17" ht="17" x14ac:dyDescent="0.2">
      <c r="B11" s="21"/>
    </row>
    <row r="12" spans="1:17" ht="17" x14ac:dyDescent="0.2">
      <c r="B12" s="21"/>
    </row>
    <row r="13" spans="1:17" ht="17" x14ac:dyDescent="0.2">
      <c r="B13" s="21"/>
    </row>
    <row r="14" spans="1:17" ht="17" x14ac:dyDescent="0.2">
      <c r="B14" s="21"/>
    </row>
    <row r="15" spans="1:17" ht="17" x14ac:dyDescent="0.2">
      <c r="B15" s="21"/>
    </row>
    <row r="16" spans="1:17" ht="17" x14ac:dyDescent="0.2">
      <c r="B16" s="21"/>
    </row>
    <row r="17" spans="2:2" ht="17" x14ac:dyDescent="0.2">
      <c r="B17" s="21"/>
    </row>
    <row r="18" spans="2:2" ht="17" x14ac:dyDescent="0.2">
      <c r="B18" s="21"/>
    </row>
    <row r="19" spans="2:2" ht="17" x14ac:dyDescent="0.2">
      <c r="B19" s="21"/>
    </row>
    <row r="27" spans="2:2" s="9" customFormat="1" x14ac:dyDescent="0.2"/>
  </sheetData>
  <sortState xmlns:xlrd2="http://schemas.microsoft.com/office/spreadsheetml/2017/richdata2" ref="B7:B8">
    <sortCondition ref="B7:B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698A4-E677-C342-941E-9CC2683A26A5}">
  <sheetPr codeName="Sheet4"/>
  <dimension ref="A1:I7"/>
  <sheetViews>
    <sheetView workbookViewId="0">
      <selection activeCell="H14" sqref="H14"/>
    </sheetView>
  </sheetViews>
  <sheetFormatPr baseColWidth="10" defaultRowHeight="16" x14ac:dyDescent="0.2"/>
  <cols>
    <col min="1" max="1" width="27.1640625" customWidth="1"/>
    <col min="2" max="2" width="39.83203125" customWidth="1"/>
    <col min="4" max="4" width="25.5" customWidth="1"/>
    <col min="5" max="5" width="25.6640625" customWidth="1"/>
    <col min="6" max="6" width="36" customWidth="1"/>
    <col min="7" max="7" width="28" customWidth="1"/>
    <col min="8" max="8" width="24.5" customWidth="1"/>
  </cols>
  <sheetData>
    <row r="1" spans="1:9" x14ac:dyDescent="0.2">
      <c r="A1" t="s">
        <v>6</v>
      </c>
      <c r="B1" t="s">
        <v>7</v>
      </c>
      <c r="E1" t="s">
        <v>271</v>
      </c>
    </row>
    <row r="2" spans="1:9" x14ac:dyDescent="0.2">
      <c r="A2" t="s">
        <v>31</v>
      </c>
      <c r="E2" t="s">
        <v>272</v>
      </c>
      <c r="F2" t="s">
        <v>273</v>
      </c>
      <c r="G2" t="s">
        <v>274</v>
      </c>
      <c r="H2" t="s">
        <v>275</v>
      </c>
      <c r="I2" t="s">
        <v>276</v>
      </c>
    </row>
    <row r="5" spans="1:9" x14ac:dyDescent="0.2">
      <c r="A5" t="s">
        <v>30</v>
      </c>
      <c r="B5" t="s">
        <v>13</v>
      </c>
      <c r="C5" t="s">
        <v>14</v>
      </c>
      <c r="D5" t="s">
        <v>18</v>
      </c>
      <c r="E5" t="s">
        <v>19</v>
      </c>
      <c r="F5" t="s">
        <v>22</v>
      </c>
      <c r="G5" t="s">
        <v>20</v>
      </c>
      <c r="H5" t="s">
        <v>23</v>
      </c>
    </row>
    <row r="6" spans="1:9" x14ac:dyDescent="0.2">
      <c r="A6" t="s">
        <v>15</v>
      </c>
      <c r="B6" t="s">
        <v>26</v>
      </c>
      <c r="C6" t="s">
        <v>16</v>
      </c>
      <c r="D6" t="s">
        <v>27</v>
      </c>
      <c r="F6" t="s">
        <v>28</v>
      </c>
      <c r="G6" t="s">
        <v>21</v>
      </c>
      <c r="H6" t="s">
        <v>24</v>
      </c>
    </row>
    <row r="7" spans="1:9" x14ac:dyDescent="0.2">
      <c r="A7" t="s">
        <v>29</v>
      </c>
      <c r="B7" t="s">
        <v>25</v>
      </c>
      <c r="C7" t="s">
        <v>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5A88B-5E19-9F43-948A-E5880CAD4B28}">
  <sheetPr codeName="Sheet5"/>
  <dimension ref="A1:BG30"/>
  <sheetViews>
    <sheetView workbookViewId="0">
      <selection activeCell="D1" sqref="D1"/>
    </sheetView>
  </sheetViews>
  <sheetFormatPr baseColWidth="10" defaultRowHeight="16" x14ac:dyDescent="0.2"/>
  <cols>
    <col min="1" max="2" width="19.83203125" customWidth="1"/>
    <col min="4" max="4" width="20.1640625" customWidth="1"/>
  </cols>
  <sheetData>
    <row r="1" spans="1:59" x14ac:dyDescent="0.2">
      <c r="A1" s="5" t="s">
        <v>103</v>
      </c>
      <c r="B1" s="5"/>
      <c r="C1" s="4" t="s">
        <v>104</v>
      </c>
      <c r="D1" s="4" t="s">
        <v>105</v>
      </c>
      <c r="E1" s="4" t="s">
        <v>104</v>
      </c>
      <c r="F1" s="4" t="s">
        <v>3</v>
      </c>
      <c r="G1" s="4" t="s">
        <v>104</v>
      </c>
      <c r="H1" s="4" t="s">
        <v>104</v>
      </c>
      <c r="I1" s="4" t="s">
        <v>104</v>
      </c>
      <c r="J1" s="4" t="s">
        <v>105</v>
      </c>
      <c r="K1" s="4" t="s">
        <v>3</v>
      </c>
      <c r="L1" s="4" t="s">
        <v>3</v>
      </c>
      <c r="M1" s="4" t="s">
        <v>105</v>
      </c>
      <c r="N1" s="4" t="s">
        <v>106</v>
      </c>
      <c r="O1" s="4" t="s">
        <v>106</v>
      </c>
      <c r="P1" s="4" t="s">
        <v>104</v>
      </c>
      <c r="Q1" s="4" t="s">
        <v>104</v>
      </c>
      <c r="R1" s="4" t="s">
        <v>104</v>
      </c>
      <c r="S1" s="4" t="s">
        <v>105</v>
      </c>
      <c r="T1" s="4" t="s">
        <v>105</v>
      </c>
      <c r="U1" s="4" t="s">
        <v>106</v>
      </c>
      <c r="V1" s="4" t="s">
        <v>104</v>
      </c>
      <c r="W1" s="4" t="s">
        <v>104</v>
      </c>
      <c r="X1" s="4" t="s">
        <v>104</v>
      </c>
      <c r="Y1" t="s">
        <v>104</v>
      </c>
      <c r="Z1" s="4" t="s">
        <v>104</v>
      </c>
      <c r="AA1" s="4" t="s">
        <v>104</v>
      </c>
      <c r="AB1" s="4" t="s">
        <v>104</v>
      </c>
      <c r="AC1" s="4" t="s">
        <v>104</v>
      </c>
      <c r="AD1" s="4" t="s">
        <v>104</v>
      </c>
      <c r="AE1" s="4" t="s">
        <v>105</v>
      </c>
      <c r="AF1" s="4" t="s">
        <v>104</v>
      </c>
      <c r="AG1" s="4" t="s">
        <v>106</v>
      </c>
      <c r="AH1" s="4" t="s">
        <v>105</v>
      </c>
      <c r="AI1" s="4" t="s">
        <v>105</v>
      </c>
      <c r="AJ1" s="4" t="s">
        <v>104</v>
      </c>
      <c r="AK1" s="4" t="s">
        <v>104</v>
      </c>
      <c r="AL1" s="4" t="s">
        <v>104</v>
      </c>
      <c r="AM1" s="4" t="s">
        <v>104</v>
      </c>
      <c r="AN1" s="4" t="s">
        <v>104</v>
      </c>
      <c r="AO1" s="4" t="s">
        <v>104</v>
      </c>
      <c r="AP1" s="4" t="s">
        <v>104</v>
      </c>
      <c r="AQ1" s="4" t="s">
        <v>104</v>
      </c>
      <c r="AR1" s="4" t="s">
        <v>104</v>
      </c>
      <c r="AS1" s="4" t="s">
        <v>104</v>
      </c>
      <c r="AT1" s="4" t="s">
        <v>104</v>
      </c>
      <c r="AU1" s="4" t="s">
        <v>104</v>
      </c>
      <c r="AV1" s="4" t="s">
        <v>104</v>
      </c>
      <c r="AW1" s="4" t="s">
        <v>104</v>
      </c>
      <c r="AX1" s="4" t="s">
        <v>104</v>
      </c>
      <c r="AY1" s="4" t="s">
        <v>104</v>
      </c>
      <c r="AZ1" s="4" t="s">
        <v>105</v>
      </c>
      <c r="BA1" s="4" t="s">
        <v>105</v>
      </c>
      <c r="BB1" s="4" t="s">
        <v>105</v>
      </c>
      <c r="BC1" s="4" t="s">
        <v>104</v>
      </c>
      <c r="BD1" s="4" t="s">
        <v>106</v>
      </c>
      <c r="BE1" s="4" t="s">
        <v>104</v>
      </c>
      <c r="BF1" s="4" t="s">
        <v>104</v>
      </c>
      <c r="BG1" s="4" t="s">
        <v>105</v>
      </c>
    </row>
    <row r="2" spans="1:59" x14ac:dyDescent="0.2">
      <c r="A2" s="5" t="s">
        <v>107</v>
      </c>
      <c r="B2" s="5"/>
      <c r="C2" s="5" t="s">
        <v>108</v>
      </c>
      <c r="D2" s="4"/>
      <c r="E2" s="4" t="s">
        <v>109</v>
      </c>
      <c r="F2" s="4"/>
      <c r="G2" s="6" t="s">
        <v>110</v>
      </c>
      <c r="H2" s="4" t="s">
        <v>111</v>
      </c>
      <c r="I2" s="4" t="s">
        <v>112</v>
      </c>
      <c r="J2" s="4"/>
      <c r="K2" s="4"/>
      <c r="L2" s="4"/>
      <c r="M2" s="4"/>
      <c r="N2" s="4" t="s">
        <v>113</v>
      </c>
      <c r="O2" s="4" t="s">
        <v>113</v>
      </c>
      <c r="P2" s="4" t="s">
        <v>114</v>
      </c>
      <c r="Q2" s="4" t="s">
        <v>115</v>
      </c>
      <c r="R2" s="4" t="s">
        <v>115</v>
      </c>
      <c r="S2" s="4" t="s">
        <v>116</v>
      </c>
      <c r="T2" s="4" t="s">
        <v>116</v>
      </c>
      <c r="U2" s="4"/>
      <c r="V2" s="4" t="s">
        <v>117</v>
      </c>
      <c r="W2" s="4"/>
      <c r="X2" s="4" t="s">
        <v>118</v>
      </c>
      <c r="Y2" s="4" t="s">
        <v>119</v>
      </c>
      <c r="Z2" s="4" t="s">
        <v>120</v>
      </c>
      <c r="AA2" s="4" t="s">
        <v>118</v>
      </c>
      <c r="AB2" s="4" t="s">
        <v>121</v>
      </c>
      <c r="AC2" s="6" t="s">
        <v>117</v>
      </c>
      <c r="AD2" s="6" t="s">
        <v>117</v>
      </c>
      <c r="AE2" s="4"/>
      <c r="AF2" s="4" t="s">
        <v>122</v>
      </c>
      <c r="AG2" s="4"/>
      <c r="AH2" s="4"/>
      <c r="AI2" s="4"/>
      <c r="AJ2" s="4" t="s">
        <v>122</v>
      </c>
      <c r="AK2" s="4" t="s">
        <v>122</v>
      </c>
      <c r="AL2" s="4" t="s">
        <v>122</v>
      </c>
      <c r="AM2" s="4" t="s">
        <v>122</v>
      </c>
      <c r="AN2" s="4" t="s">
        <v>122</v>
      </c>
      <c r="AO2" s="4" t="s">
        <v>123</v>
      </c>
      <c r="AP2" s="4" t="s">
        <v>124</v>
      </c>
      <c r="AQ2" s="4" t="s">
        <v>122</v>
      </c>
      <c r="AR2" s="6" t="s">
        <v>122</v>
      </c>
      <c r="AS2" s="4" t="s">
        <v>125</v>
      </c>
      <c r="AT2" s="4" t="s">
        <v>125</v>
      </c>
      <c r="AU2" s="6" t="s">
        <v>117</v>
      </c>
      <c r="AV2" s="6" t="s">
        <v>122</v>
      </c>
      <c r="AW2" s="4" t="s">
        <v>125</v>
      </c>
      <c r="AX2" s="4" t="s">
        <v>125</v>
      </c>
      <c r="AY2" s="6" t="s">
        <v>126</v>
      </c>
      <c r="AZ2" s="4"/>
      <c r="BA2" s="4"/>
      <c r="BB2" s="4"/>
      <c r="BC2" s="4" t="s">
        <v>121</v>
      </c>
      <c r="BD2" s="4"/>
      <c r="BE2" s="4" t="s">
        <v>121</v>
      </c>
      <c r="BF2" s="4" t="s">
        <v>121</v>
      </c>
      <c r="BG2" s="4"/>
    </row>
    <row r="3" spans="1:59" x14ac:dyDescent="0.2">
      <c r="A3" s="5" t="s">
        <v>127</v>
      </c>
      <c r="B3" s="5"/>
      <c r="C3" s="5" t="s">
        <v>108</v>
      </c>
      <c r="D3" s="4"/>
      <c r="E3" s="4" t="s">
        <v>128</v>
      </c>
      <c r="F3" s="4"/>
      <c r="G3" s="4" t="s">
        <v>129</v>
      </c>
      <c r="H3" s="4" t="s">
        <v>130</v>
      </c>
      <c r="I3" s="4" t="s">
        <v>131</v>
      </c>
      <c r="J3" s="4"/>
      <c r="K3" s="4"/>
      <c r="L3" s="4"/>
      <c r="M3" s="4"/>
      <c r="N3" s="4"/>
      <c r="O3" s="4"/>
      <c r="P3" s="4" t="s">
        <v>132</v>
      </c>
      <c r="Q3" s="4" t="s">
        <v>133</v>
      </c>
      <c r="R3" s="4" t="s">
        <v>133</v>
      </c>
      <c r="S3" s="4"/>
      <c r="T3" s="4"/>
      <c r="U3" s="4"/>
      <c r="V3" s="4" t="s">
        <v>133</v>
      </c>
      <c r="W3" s="4"/>
      <c r="X3" s="4" t="s">
        <v>134</v>
      </c>
      <c r="Y3" s="4" t="s">
        <v>135</v>
      </c>
      <c r="Z3" s="4" t="s">
        <v>136</v>
      </c>
      <c r="AA3" s="4" t="s">
        <v>137</v>
      </c>
      <c r="AB3" s="4" t="s">
        <v>136</v>
      </c>
      <c r="AC3" s="4" t="s">
        <v>138</v>
      </c>
      <c r="AD3" s="4" t="s">
        <v>138</v>
      </c>
      <c r="AE3" s="4"/>
      <c r="AF3" s="4" t="s">
        <v>136</v>
      </c>
      <c r="AG3" s="4"/>
      <c r="AH3" s="4"/>
      <c r="AI3" s="4"/>
      <c r="AJ3" s="4" t="s">
        <v>136</v>
      </c>
      <c r="AK3" s="4" t="s">
        <v>136</v>
      </c>
      <c r="AL3" s="4" t="s">
        <v>136</v>
      </c>
      <c r="AM3" s="4" t="s">
        <v>136</v>
      </c>
      <c r="AN3" s="4" t="s">
        <v>136</v>
      </c>
      <c r="AO3" t="s">
        <v>139</v>
      </c>
      <c r="AP3" s="4" t="s">
        <v>136</v>
      </c>
      <c r="AQ3" s="4" t="s">
        <v>136</v>
      </c>
      <c r="AR3" s="4" t="s">
        <v>136</v>
      </c>
      <c r="AS3" s="4" t="s">
        <v>137</v>
      </c>
      <c r="AT3" s="4" t="s">
        <v>137</v>
      </c>
      <c r="AU3" s="4" t="s">
        <v>138</v>
      </c>
      <c r="AV3" s="4" t="s">
        <v>136</v>
      </c>
      <c r="AW3" s="4" t="s">
        <v>137</v>
      </c>
      <c r="AX3" s="4" t="s">
        <v>137</v>
      </c>
      <c r="AY3" s="4" t="s">
        <v>140</v>
      </c>
      <c r="AZ3" s="4"/>
      <c r="BA3" s="4"/>
      <c r="BB3" s="4"/>
      <c r="BC3" s="4" t="s">
        <v>136</v>
      </c>
      <c r="BD3" s="4"/>
      <c r="BE3" s="4" t="s">
        <v>136</v>
      </c>
      <c r="BF3" s="4" t="s">
        <v>136</v>
      </c>
      <c r="BG3" s="4"/>
    </row>
    <row r="4" spans="1:59" x14ac:dyDescent="0.2">
      <c r="A4" s="5" t="s">
        <v>229</v>
      </c>
      <c r="B4" s="5"/>
      <c r="C4" s="5"/>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P4" s="4"/>
      <c r="AQ4" s="4"/>
      <c r="AR4" s="4"/>
      <c r="AS4" s="4"/>
      <c r="AT4" s="4"/>
      <c r="AU4" s="4"/>
      <c r="AV4" s="4"/>
      <c r="AW4" s="4"/>
      <c r="AX4" s="4"/>
      <c r="AY4" s="4"/>
      <c r="AZ4" s="4"/>
      <c r="BA4" s="4"/>
      <c r="BB4" s="4"/>
      <c r="BC4" s="4"/>
      <c r="BD4" s="4"/>
      <c r="BE4" s="4"/>
      <c r="BF4" s="4"/>
      <c r="BG4" s="4"/>
    </row>
    <row r="5" spans="1:59" x14ac:dyDescent="0.2">
      <c r="A5" s="5" t="s">
        <v>141</v>
      </c>
      <c r="B5" s="5"/>
      <c r="C5" s="4" t="s">
        <v>142</v>
      </c>
      <c r="D5" s="4" t="s">
        <v>143</v>
      </c>
      <c r="E5" s="4" t="s">
        <v>144</v>
      </c>
      <c r="F5" s="4" t="s">
        <v>145</v>
      </c>
      <c r="G5" s="4" t="s">
        <v>146</v>
      </c>
      <c r="H5" s="4" t="s">
        <v>147</v>
      </c>
      <c r="I5" s="4" t="s">
        <v>148</v>
      </c>
      <c r="J5" s="4"/>
      <c r="K5" s="4" t="s">
        <v>149</v>
      </c>
      <c r="L5" s="4" t="s">
        <v>149</v>
      </c>
      <c r="M5" s="4" t="s">
        <v>150</v>
      </c>
      <c r="N5" s="4" t="s">
        <v>151</v>
      </c>
      <c r="O5" s="4" t="s">
        <v>152</v>
      </c>
      <c r="P5" s="4" t="s">
        <v>153</v>
      </c>
      <c r="Q5" s="4" t="s">
        <v>154</v>
      </c>
      <c r="R5" s="4" t="s">
        <v>154</v>
      </c>
      <c r="S5" s="4" t="s">
        <v>155</v>
      </c>
      <c r="T5" s="4" t="s">
        <v>156</v>
      </c>
      <c r="U5" s="4"/>
      <c r="V5" s="4"/>
      <c r="W5" s="4" t="s">
        <v>157</v>
      </c>
      <c r="X5" s="4" t="s">
        <v>158</v>
      </c>
      <c r="Y5" s="4" t="s">
        <v>159</v>
      </c>
      <c r="Z5" s="4" t="s">
        <v>160</v>
      </c>
      <c r="AA5" s="4" t="s">
        <v>161</v>
      </c>
      <c r="AB5" s="4" t="s">
        <v>162</v>
      </c>
      <c r="AC5" s="4"/>
      <c r="AD5" s="4"/>
      <c r="AE5" s="4" t="s">
        <v>163</v>
      </c>
      <c r="AF5" s="4" t="s">
        <v>164</v>
      </c>
      <c r="AG5" s="4" t="s">
        <v>165</v>
      </c>
      <c r="AH5" s="4"/>
      <c r="AI5" s="4" t="s">
        <v>166</v>
      </c>
      <c r="AJ5" s="4"/>
      <c r="AK5" s="4" t="s">
        <v>167</v>
      </c>
      <c r="AL5" s="4" t="s">
        <v>167</v>
      </c>
      <c r="AM5" s="4" t="s">
        <v>167</v>
      </c>
      <c r="AN5" s="4" t="s">
        <v>167</v>
      </c>
      <c r="AO5" s="4" t="s">
        <v>168</v>
      </c>
      <c r="AP5" s="4" t="s">
        <v>169</v>
      </c>
      <c r="AQ5" s="4" t="s">
        <v>170</v>
      </c>
      <c r="AR5" s="4" t="s">
        <v>170</v>
      </c>
      <c r="AS5" s="4" t="s">
        <v>171</v>
      </c>
      <c r="AT5" s="4" t="s">
        <v>172</v>
      </c>
      <c r="AU5" s="4" t="s">
        <v>173</v>
      </c>
      <c r="AV5" s="4" t="s">
        <v>170</v>
      </c>
      <c r="AW5" s="4" t="s">
        <v>172</v>
      </c>
      <c r="AX5" s="4"/>
      <c r="AY5" s="4" t="s">
        <v>174</v>
      </c>
      <c r="AZ5" s="4"/>
      <c r="BA5" s="4" t="s">
        <v>175</v>
      </c>
      <c r="BB5" s="4"/>
      <c r="BC5" s="4"/>
      <c r="BD5" s="4" t="s">
        <v>175</v>
      </c>
      <c r="BE5" s="4" t="s">
        <v>170</v>
      </c>
      <c r="BF5" s="4"/>
      <c r="BG5" s="4" t="s">
        <v>176</v>
      </c>
    </row>
    <row r="6" spans="1:59" x14ac:dyDescent="0.2">
      <c r="A6" s="5"/>
      <c r="B6" s="1" t="s">
        <v>241</v>
      </c>
      <c r="C6" s="5" t="s">
        <v>5</v>
      </c>
      <c r="D6" s="5" t="s">
        <v>177</v>
      </c>
      <c r="E6" s="5" t="s">
        <v>178</v>
      </c>
      <c r="F6" s="5" t="s">
        <v>179</v>
      </c>
      <c r="G6" s="5" t="s">
        <v>180</v>
      </c>
      <c r="H6" s="5" t="s">
        <v>181</v>
      </c>
      <c r="I6" s="5" t="s">
        <v>182</v>
      </c>
      <c r="J6" s="5" t="s">
        <v>183</v>
      </c>
      <c r="K6" s="5" t="s">
        <v>184</v>
      </c>
      <c r="L6" s="5" t="s">
        <v>185</v>
      </c>
      <c r="M6" s="5" t="s">
        <v>186</v>
      </c>
      <c r="N6" s="5" t="s">
        <v>187</v>
      </c>
      <c r="O6" s="5" t="s">
        <v>188</v>
      </c>
      <c r="P6" s="5" t="s">
        <v>189</v>
      </c>
      <c r="Q6" s="5" t="s">
        <v>190</v>
      </c>
      <c r="R6" s="5" t="s">
        <v>191</v>
      </c>
      <c r="S6" s="5" t="s">
        <v>192</v>
      </c>
      <c r="T6" s="5" t="s">
        <v>25</v>
      </c>
      <c r="U6" s="5" t="s">
        <v>193</v>
      </c>
      <c r="V6" s="5" t="s">
        <v>194</v>
      </c>
      <c r="W6" s="5" t="s">
        <v>27</v>
      </c>
      <c r="X6" s="5" t="s">
        <v>195</v>
      </c>
      <c r="Y6" s="5" t="s">
        <v>196</v>
      </c>
      <c r="Z6" s="5" t="s">
        <v>197</v>
      </c>
      <c r="AA6" s="5" t="s">
        <v>198</v>
      </c>
      <c r="AB6" s="5" t="s">
        <v>199</v>
      </c>
      <c r="AC6" s="5" t="s">
        <v>200</v>
      </c>
      <c r="AD6" s="5" t="s">
        <v>201</v>
      </c>
      <c r="AE6" s="5" t="s">
        <v>202</v>
      </c>
      <c r="AF6" s="5" t="s">
        <v>203</v>
      </c>
      <c r="AG6" s="5" t="s">
        <v>204</v>
      </c>
      <c r="AH6" s="5" t="s">
        <v>205</v>
      </c>
      <c r="AI6" s="5" t="s">
        <v>206</v>
      </c>
      <c r="AJ6" s="5" t="s">
        <v>207</v>
      </c>
      <c r="AK6" s="5" t="s">
        <v>208</v>
      </c>
      <c r="AL6" s="5" t="s">
        <v>209</v>
      </c>
      <c r="AM6" s="5" t="s">
        <v>210</v>
      </c>
      <c r="AN6" s="5" t="s">
        <v>211</v>
      </c>
      <c r="AO6" s="5" t="s">
        <v>212</v>
      </c>
      <c r="AP6" s="5" t="s">
        <v>213</v>
      </c>
      <c r="AQ6" s="5" t="s">
        <v>214</v>
      </c>
      <c r="AR6" s="5" t="s">
        <v>215</v>
      </c>
      <c r="AS6" s="5" t="s">
        <v>216</v>
      </c>
      <c r="AT6" s="5" t="s">
        <v>217</v>
      </c>
      <c r="AU6" s="5" t="s">
        <v>218</v>
      </c>
      <c r="AV6" s="5" t="s">
        <v>219</v>
      </c>
      <c r="AW6" s="5" t="s">
        <v>220</v>
      </c>
      <c r="AX6" s="5" t="s">
        <v>221</v>
      </c>
      <c r="AY6" s="5" t="s">
        <v>222</v>
      </c>
      <c r="AZ6" s="5" t="s">
        <v>223</v>
      </c>
      <c r="BA6" s="5" t="s">
        <v>224</v>
      </c>
      <c r="BB6" s="5" t="s">
        <v>225</v>
      </c>
      <c r="BC6" s="5" t="s">
        <v>226</v>
      </c>
      <c r="BD6" s="5" t="s">
        <v>223</v>
      </c>
      <c r="BE6" s="5" t="s">
        <v>227</v>
      </c>
      <c r="BF6" s="5" t="s">
        <v>4</v>
      </c>
      <c r="BG6" s="5" t="s">
        <v>228</v>
      </c>
    </row>
    <row r="7" spans="1:59" x14ac:dyDescent="0.2">
      <c r="B7" t="s">
        <v>242</v>
      </c>
      <c r="D7" s="4" t="s">
        <v>63</v>
      </c>
      <c r="M7" s="4" t="s">
        <v>230</v>
      </c>
    </row>
    <row r="8" spans="1:59" x14ac:dyDescent="0.2">
      <c r="B8" t="s">
        <v>243</v>
      </c>
      <c r="D8" s="4" t="s">
        <v>64</v>
      </c>
      <c r="M8" s="4" t="s">
        <v>60</v>
      </c>
    </row>
    <row r="9" spans="1:59" x14ac:dyDescent="0.2">
      <c r="B9" t="s">
        <v>260</v>
      </c>
      <c r="D9" s="4" t="s">
        <v>65</v>
      </c>
      <c r="M9" s="4" t="s">
        <v>231</v>
      </c>
    </row>
    <row r="10" spans="1:59" x14ac:dyDescent="0.2">
      <c r="D10" s="4" t="s">
        <v>66</v>
      </c>
    </row>
    <row r="11" spans="1:59" x14ac:dyDescent="0.2">
      <c r="D11" s="4" t="s">
        <v>67</v>
      </c>
    </row>
    <row r="12" spans="1:59" x14ac:dyDescent="0.2">
      <c r="D12" s="4" t="s">
        <v>68</v>
      </c>
    </row>
    <row r="13" spans="1:59" x14ac:dyDescent="0.2">
      <c r="D13" s="4" t="s">
        <v>69</v>
      </c>
    </row>
    <row r="14" spans="1:59" x14ac:dyDescent="0.2">
      <c r="D14" s="4" t="s">
        <v>70</v>
      </c>
    </row>
    <row r="15" spans="1:59" x14ac:dyDescent="0.2">
      <c r="D15" s="4" t="s">
        <v>71</v>
      </c>
    </row>
    <row r="16" spans="1:59" x14ac:dyDescent="0.2">
      <c r="D16" s="4" t="s">
        <v>72</v>
      </c>
    </row>
    <row r="17" spans="4:4" x14ac:dyDescent="0.2">
      <c r="D17" s="4" t="s">
        <v>73</v>
      </c>
    </row>
    <row r="18" spans="4:4" x14ac:dyDescent="0.2">
      <c r="D18" s="4" t="s">
        <v>74</v>
      </c>
    </row>
    <row r="19" spans="4:4" x14ac:dyDescent="0.2">
      <c r="D19" s="4" t="s">
        <v>75</v>
      </c>
    </row>
    <row r="20" spans="4:4" x14ac:dyDescent="0.2">
      <c r="D20" s="4" t="s">
        <v>76</v>
      </c>
    </row>
    <row r="21" spans="4:4" x14ac:dyDescent="0.2">
      <c r="D21" s="4" t="s">
        <v>77</v>
      </c>
    </row>
    <row r="22" spans="4:4" x14ac:dyDescent="0.2">
      <c r="D22" s="4" t="s">
        <v>78</v>
      </c>
    </row>
    <row r="23" spans="4:4" x14ac:dyDescent="0.2">
      <c r="D23" s="4" t="s">
        <v>79</v>
      </c>
    </row>
    <row r="24" spans="4:4" x14ac:dyDescent="0.2">
      <c r="D24" s="4" t="s">
        <v>80</v>
      </c>
    </row>
    <row r="25" spans="4:4" x14ac:dyDescent="0.2">
      <c r="D25" s="4" t="s">
        <v>81</v>
      </c>
    </row>
    <row r="26" spans="4:4" x14ac:dyDescent="0.2">
      <c r="D26" s="4" t="s">
        <v>82</v>
      </c>
    </row>
    <row r="27" spans="4:4" x14ac:dyDescent="0.2">
      <c r="D27" s="4" t="s">
        <v>83</v>
      </c>
    </row>
    <row r="28" spans="4:4" x14ac:dyDescent="0.2">
      <c r="D28" s="4" t="s">
        <v>84</v>
      </c>
    </row>
    <row r="29" spans="4:4" x14ac:dyDescent="0.2">
      <c r="D29" s="4" t="s">
        <v>85</v>
      </c>
    </row>
    <row r="30" spans="4:4" x14ac:dyDescent="0.2">
      <c r="D30" s="4" t="s">
        <v>86</v>
      </c>
    </row>
  </sheetData>
  <dataValidations count="4">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do not change." sqref="D6" xr:uid="{3C5F4C0F-AC8E-9044-81CC-3FDBAF83EC6F}">
      <formula1>ValidationOfE5</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FirstName (MiddleName(s)) LastName" sqref="D3:D4" xr:uid="{B9CCBD4B-54A4-384C-A233-2F28F9E37E7F}">
      <formula1>ValidationOfC3</formula1>
    </dataValidation>
    <dataValidation type="list" allowBlank="1" showInputMessage="1" showErrorMessage="1" errorTitle="Error" error="choose one." promptTitle="Help:" prompt="If you feel your input is valid and that the Validation is wrong Or missing in the DropDown please contact *lea.seep@uni-bonn.de* or find me at the Mattermost and text me there :)" sqref="D2" xr:uid="{315663B6-60D0-8B4D-A64E-C14DD2F0801C}">
      <formula1>D7:D30</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D30" xr:uid="{DAE7967F-350E-2C42-BCB4-34763550D257}">
      <formula1>ValidationOfX29</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BCD0-75FB-3F44-970B-BBCAFF42094F}">
  <sheetPr codeName="Sheet3"/>
  <dimension ref="A1:D25"/>
  <sheetViews>
    <sheetView workbookViewId="0">
      <selection activeCell="D2" sqref="D2:D10"/>
    </sheetView>
  </sheetViews>
  <sheetFormatPr baseColWidth="10" defaultRowHeight="16" x14ac:dyDescent="0.2"/>
  <cols>
    <col min="4" max="4" width="19.5" customWidth="1"/>
  </cols>
  <sheetData>
    <row r="1" spans="1:4" x14ac:dyDescent="0.2">
      <c r="A1" s="1" t="s">
        <v>1</v>
      </c>
      <c r="B1" s="1" t="s">
        <v>39</v>
      </c>
      <c r="C1" s="1" t="s">
        <v>57</v>
      </c>
      <c r="D1" s="1" t="s">
        <v>87</v>
      </c>
    </row>
    <row r="2" spans="1:4" x14ac:dyDescent="0.2">
      <c r="A2" s="4" t="s">
        <v>63</v>
      </c>
      <c r="B2" t="s">
        <v>60</v>
      </c>
      <c r="C2" t="s">
        <v>58</v>
      </c>
      <c r="D2" s="4" t="s">
        <v>88</v>
      </c>
    </row>
    <row r="3" spans="1:4" x14ac:dyDescent="0.2">
      <c r="A3" s="4" t="s">
        <v>64</v>
      </c>
      <c r="B3" t="s">
        <v>61</v>
      </c>
      <c r="C3" t="s">
        <v>59</v>
      </c>
      <c r="D3" s="4" t="s">
        <v>96</v>
      </c>
    </row>
    <row r="4" spans="1:4" x14ac:dyDescent="0.2">
      <c r="A4" s="4" t="s">
        <v>65</v>
      </c>
      <c r="B4" t="s">
        <v>62</v>
      </c>
      <c r="D4" s="4" t="s">
        <v>89</v>
      </c>
    </row>
    <row r="5" spans="1:4" x14ac:dyDescent="0.2">
      <c r="A5" s="4" t="s">
        <v>66</v>
      </c>
      <c r="D5" s="4" t="s">
        <v>90</v>
      </c>
    </row>
    <row r="6" spans="1:4" x14ac:dyDescent="0.2">
      <c r="A6" s="4" t="s">
        <v>67</v>
      </c>
      <c r="D6" s="4" t="s">
        <v>91</v>
      </c>
    </row>
    <row r="7" spans="1:4" x14ac:dyDescent="0.2">
      <c r="A7" s="4" t="s">
        <v>68</v>
      </c>
      <c r="D7" s="4" t="s">
        <v>92</v>
      </c>
    </row>
    <row r="8" spans="1:4" x14ac:dyDescent="0.2">
      <c r="A8" s="4" t="s">
        <v>69</v>
      </c>
      <c r="D8" s="4" t="s">
        <v>93</v>
      </c>
    </row>
    <row r="9" spans="1:4" x14ac:dyDescent="0.2">
      <c r="A9" s="4" t="s">
        <v>70</v>
      </c>
      <c r="D9" s="4" t="s">
        <v>94</v>
      </c>
    </row>
    <row r="10" spans="1:4" x14ac:dyDescent="0.2">
      <c r="A10" s="4" t="s">
        <v>71</v>
      </c>
      <c r="D10" s="4" t="s">
        <v>95</v>
      </c>
    </row>
    <row r="11" spans="1:4" x14ac:dyDescent="0.2">
      <c r="A11" s="4" t="s">
        <v>72</v>
      </c>
    </row>
    <row r="12" spans="1:4" x14ac:dyDescent="0.2">
      <c r="A12" s="4" t="s">
        <v>73</v>
      </c>
    </row>
    <row r="13" spans="1:4" x14ac:dyDescent="0.2">
      <c r="A13" s="4" t="s">
        <v>74</v>
      </c>
    </row>
    <row r="14" spans="1:4" x14ac:dyDescent="0.2">
      <c r="A14" s="4" t="s">
        <v>75</v>
      </c>
    </row>
    <row r="15" spans="1:4" x14ac:dyDescent="0.2">
      <c r="A15" s="4" t="s">
        <v>76</v>
      </c>
    </row>
    <row r="16" spans="1:4" x14ac:dyDescent="0.2">
      <c r="A16" s="4" t="s">
        <v>77</v>
      </c>
    </row>
    <row r="17" spans="1:1" x14ac:dyDescent="0.2">
      <c r="A17" s="4" t="s">
        <v>78</v>
      </c>
    </row>
    <row r="18" spans="1:1" x14ac:dyDescent="0.2">
      <c r="A18" s="4" t="s">
        <v>79</v>
      </c>
    </row>
    <row r="19" spans="1:1" x14ac:dyDescent="0.2">
      <c r="A19" s="4" t="s">
        <v>80</v>
      </c>
    </row>
    <row r="20" spans="1:1" x14ac:dyDescent="0.2">
      <c r="A20" s="4" t="s">
        <v>81</v>
      </c>
    </row>
    <row r="21" spans="1:1" x14ac:dyDescent="0.2">
      <c r="A21" s="4" t="s">
        <v>82</v>
      </c>
    </row>
    <row r="22" spans="1:1" x14ac:dyDescent="0.2">
      <c r="A22" s="4" t="s">
        <v>83</v>
      </c>
    </row>
    <row r="23" spans="1:1" x14ac:dyDescent="0.2">
      <c r="A23" s="4" t="s">
        <v>84</v>
      </c>
    </row>
    <row r="24" spans="1:1" x14ac:dyDescent="0.2">
      <c r="A24" s="4" t="s">
        <v>85</v>
      </c>
    </row>
    <row r="25" spans="1:1" x14ac:dyDescent="0.2">
      <c r="A25" s="4" t="s">
        <v>86</v>
      </c>
    </row>
  </sheetData>
  <sortState xmlns:xlrd2="http://schemas.microsoft.com/office/spreadsheetml/2017/richdata2" ref="D2:D10">
    <sortCondition ref="D10"/>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3D241298-7823-E848-AF16-E0D50C06F644}">
      <formula1>ValidationOfX29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Template</vt:lpstr>
      <vt:lpstr>Input</vt:lpstr>
      <vt:lpstr>Sheet1</vt:lpstr>
      <vt:lpstr>Validation</vt:lpstr>
      <vt:lpstr>Validation_bool</vt:lpstr>
      <vt:lpstr>Notes</vt:lpstr>
      <vt:lpstr>Validation_old</vt:lpstr>
      <vt:lpstr>Template_Source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2022-03-16T13:57:46Z</dcterms:created>
  <dcterms:modified xsi:type="dcterms:W3CDTF">2022-04-20T22:00:44Z</dcterms:modified>
</cp:coreProperties>
</file>